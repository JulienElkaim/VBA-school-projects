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3" codeName="{2415A153-8570-D804-BEE2-DBEC5437C898}"/>
  <workbookPr codeName="ThisWorkbook" autoCompressPictures="0"/>
  <mc:AlternateContent xmlns:mc="http://schemas.openxmlformats.org/markup-compatibility/2006">
    <mc:Choice Requires="x15">
      <x15ac:absPath xmlns:x15ac="http://schemas.microsoft.com/office/spreadsheetml/2010/11/ac" url="/Users/julienelkaim/Desktop/coede/"/>
    </mc:Choice>
  </mc:AlternateContent>
  <xr:revisionPtr revIDLastSave="0" documentId="13_ncr:1_{4681DE91-C929-F84D-89C6-444CC350CC85}" xr6:coauthVersionLast="45" xr6:coauthVersionMax="45" xr10:uidLastSave="{00000000-0000-0000-0000-000000000000}"/>
  <bookViews>
    <workbookView showHorizontalScroll="0" showVerticalScroll="0" showSheetTabs="0" xWindow="0" yWindow="0" windowWidth="28800" windowHeight="18000" activeTab="5" xr2:uid="{00000000-000D-0000-FFFF-FFFF00000000}"/>
  </bookViews>
  <sheets>
    <sheet name="DEPART" sheetId="5" r:id="rId1"/>
    <sheet name="Accueil" sheetId="1" r:id="rId2"/>
    <sheet name="Regions" sheetId="2" r:id="rId3"/>
    <sheet name="Villes" sheetId="4" r:id="rId4"/>
    <sheet name="Criteres" sheetId="3" r:id="rId5"/>
    <sheet name="Graphiques" sheetId="6" r:id="rId6"/>
  </sheets>
  <externalReferences>
    <externalReference r:id="rId7"/>
    <externalReference r:id="rId8"/>
  </externalReferences>
  <definedNames>
    <definedName name="_xlnm._FilterDatabase" localSheetId="4" hidden="1">Criteres!$B$49:$C$88</definedName>
    <definedName name="Ajaccio">"Image 5"</definedName>
    <definedName name="clclick">Accueil!#REF!</definedName>
    <definedName name="clNumForme">Accueil!#REF!</definedName>
    <definedName name="hgfh">Accueil!#REF!</definedName>
    <definedName name="Imag">#REF!</definedName>
    <definedName name="Lille">"Picture 3"</definedName>
    <definedName name="lol">"Image 5"</definedName>
    <definedName name="Mon_Image">OFFSET([1]Images!$B$103,0,MATCH([1]Images!$C$5,[1]Images!$B$105:$I$105,0)-1,1,1)</definedName>
    <definedName name="NonSélectionné">Regions!$A$1</definedName>
    <definedName name="Photo">Villes!$A$13</definedName>
    <definedName name="PlageDonnées">[2]Base!$A$11:$F$105</definedName>
    <definedName name="RegionChoisie">Regions!$C$1</definedName>
    <definedName name="RetourCriteres">Criteres!$A$3:$I$42</definedName>
    <definedName name="Séléctionné">Regions!$A$2</definedName>
    <definedName name="test">Criteres!$J$4:$K$10</definedName>
    <definedName name="test1">Accueil!$M$32</definedName>
    <definedName name="test3">Criteres!$J$4:$K$10</definedName>
    <definedName name="test4">Criteres!$J$3:$K$10</definedName>
    <definedName name="VilleChoisie">Villes!$A$15</definedName>
    <definedName name="VilleChoisieNom">Villes!$B$15</definedName>
    <definedName name="VilleNS">Regions!$A$5</definedName>
    <definedName name="VilleS">Regions!$A$6</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15" i="4" l="1"/>
  <c r="L32" i="1" s="1"/>
  <c r="L39" i="1" s="1"/>
  <c r="K4" i="3"/>
  <c r="H50" i="3" s="1"/>
  <c r="J4" i="3"/>
  <c r="D79" i="3"/>
  <c r="L79" i="3" s="1"/>
  <c r="E79" i="3"/>
  <c r="M79" i="3"/>
  <c r="F79" i="3"/>
  <c r="N79" i="3" s="1"/>
  <c r="J33" i="3"/>
  <c r="G79" i="3"/>
  <c r="O79" i="3"/>
  <c r="K33" i="3"/>
  <c r="H79" i="3" s="1"/>
  <c r="P79" i="3" s="1"/>
  <c r="I79" i="3"/>
  <c r="Q79" i="3" s="1"/>
  <c r="J79" i="3"/>
  <c r="R79" i="3"/>
  <c r="K79" i="3"/>
  <c r="S79" i="3" s="1"/>
  <c r="D50" i="3"/>
  <c r="L50" i="3"/>
  <c r="E50" i="3"/>
  <c r="M50" i="3" s="1"/>
  <c r="F50" i="3"/>
  <c r="N50" i="3"/>
  <c r="G50" i="3"/>
  <c r="O50" i="3" s="1"/>
  <c r="P50" i="3"/>
  <c r="I50" i="3"/>
  <c r="Q50" i="3" s="1"/>
  <c r="J50" i="3"/>
  <c r="R50" i="3"/>
  <c r="K50" i="3"/>
  <c r="S50" i="3" s="1"/>
  <c r="D51" i="3"/>
  <c r="L51" i="3" s="1"/>
  <c r="E51" i="3"/>
  <c r="M51" i="3"/>
  <c r="F51" i="3"/>
  <c r="N51" i="3" s="1"/>
  <c r="J5" i="3"/>
  <c r="G51" i="3"/>
  <c r="O51" i="3"/>
  <c r="K5" i="3"/>
  <c r="H51" i="3" s="1"/>
  <c r="P51" i="3" s="1"/>
  <c r="I51" i="3"/>
  <c r="Q51" i="3" s="1"/>
  <c r="J51" i="3"/>
  <c r="R51" i="3"/>
  <c r="K51" i="3"/>
  <c r="S51" i="3" s="1"/>
  <c r="D52" i="3"/>
  <c r="L52" i="3"/>
  <c r="E52" i="3"/>
  <c r="M52" i="3" s="1"/>
  <c r="F52" i="3"/>
  <c r="N52" i="3"/>
  <c r="J6" i="3"/>
  <c r="G52" i="3" s="1"/>
  <c r="O52" i="3" s="1"/>
  <c r="K6" i="3"/>
  <c r="H52" i="3" s="1"/>
  <c r="P52" i="3" s="1"/>
  <c r="I52" i="3"/>
  <c r="Q52" i="3"/>
  <c r="J52" i="3"/>
  <c r="R52" i="3" s="1"/>
  <c r="K52" i="3"/>
  <c r="S52" i="3"/>
  <c r="D53" i="3"/>
  <c r="L53" i="3"/>
  <c r="E53" i="3"/>
  <c r="M53" i="3" s="1"/>
  <c r="F53" i="3"/>
  <c r="N53" i="3"/>
  <c r="J7" i="3"/>
  <c r="G53" i="3" s="1"/>
  <c r="O53" i="3" s="1"/>
  <c r="K7" i="3"/>
  <c r="H53" i="3"/>
  <c r="P53" i="3" s="1"/>
  <c r="I53" i="3"/>
  <c r="Q53" i="3"/>
  <c r="J53" i="3"/>
  <c r="R53" i="3" s="1"/>
  <c r="K53" i="3"/>
  <c r="S53" i="3"/>
  <c r="D54" i="3"/>
  <c r="L54" i="3" s="1"/>
  <c r="E54" i="3"/>
  <c r="M54" i="3"/>
  <c r="F54" i="3"/>
  <c r="N54" i="3" s="1"/>
  <c r="J8" i="3"/>
  <c r="G54" i="3"/>
  <c r="O54" i="3" s="1"/>
  <c r="K8" i="3"/>
  <c r="H54" i="3"/>
  <c r="P54" i="3"/>
  <c r="I54" i="3"/>
  <c r="Q54" i="3" s="1"/>
  <c r="J54" i="3"/>
  <c r="R54" i="3"/>
  <c r="K54" i="3"/>
  <c r="S54" i="3" s="1"/>
  <c r="D55" i="3"/>
  <c r="L55" i="3" s="1"/>
  <c r="E55" i="3"/>
  <c r="M55" i="3"/>
  <c r="F55" i="3"/>
  <c r="N55" i="3" s="1"/>
  <c r="J9" i="3"/>
  <c r="G55" i="3"/>
  <c r="O55" i="3"/>
  <c r="K9" i="3"/>
  <c r="H55" i="3" s="1"/>
  <c r="P55" i="3" s="1"/>
  <c r="I55" i="3"/>
  <c r="Q55" i="3" s="1"/>
  <c r="J55" i="3"/>
  <c r="R55" i="3"/>
  <c r="K55" i="3"/>
  <c r="S55" i="3" s="1"/>
  <c r="D56" i="3"/>
  <c r="L56" i="3"/>
  <c r="E56" i="3"/>
  <c r="M56" i="3" s="1"/>
  <c r="F56" i="3"/>
  <c r="N56" i="3"/>
  <c r="J10" i="3"/>
  <c r="G56" i="3" s="1"/>
  <c r="O56" i="3" s="1"/>
  <c r="K10" i="3"/>
  <c r="H56" i="3" s="1"/>
  <c r="P56" i="3" s="1"/>
  <c r="I56" i="3"/>
  <c r="Q56" i="3"/>
  <c r="J56" i="3"/>
  <c r="R56" i="3" s="1"/>
  <c r="K56" i="3"/>
  <c r="S56" i="3"/>
  <c r="D57" i="3"/>
  <c r="L57" i="3"/>
  <c r="E57" i="3"/>
  <c r="M57" i="3" s="1"/>
  <c r="F57" i="3"/>
  <c r="N57" i="3"/>
  <c r="J11" i="3"/>
  <c r="G57" i="3" s="1"/>
  <c r="O57" i="3" s="1"/>
  <c r="K11" i="3"/>
  <c r="H57" i="3"/>
  <c r="P57" i="3" s="1"/>
  <c r="I57" i="3"/>
  <c r="Q57" i="3"/>
  <c r="J57" i="3"/>
  <c r="R57" i="3" s="1"/>
  <c r="K57" i="3"/>
  <c r="S57" i="3"/>
  <c r="D58" i="3"/>
  <c r="L58" i="3" s="1"/>
  <c r="E58" i="3"/>
  <c r="M58" i="3"/>
  <c r="F58" i="3"/>
  <c r="N58" i="3" s="1"/>
  <c r="J12" i="3"/>
  <c r="G58" i="3"/>
  <c r="O58" i="3" s="1"/>
  <c r="K12" i="3"/>
  <c r="H58" i="3"/>
  <c r="P58" i="3"/>
  <c r="I58" i="3"/>
  <c r="Q58" i="3" s="1"/>
  <c r="J58" i="3"/>
  <c r="R58" i="3"/>
  <c r="K58" i="3"/>
  <c r="S58" i="3" s="1"/>
  <c r="D59" i="3"/>
  <c r="L59" i="3" s="1"/>
  <c r="E59" i="3"/>
  <c r="M59" i="3"/>
  <c r="F59" i="3"/>
  <c r="N59" i="3" s="1"/>
  <c r="J13" i="3"/>
  <c r="G59" i="3"/>
  <c r="O59" i="3"/>
  <c r="K13" i="3"/>
  <c r="H59" i="3" s="1"/>
  <c r="P59" i="3" s="1"/>
  <c r="I59" i="3"/>
  <c r="Q59" i="3" s="1"/>
  <c r="J59" i="3"/>
  <c r="R59" i="3"/>
  <c r="K59" i="3"/>
  <c r="S59" i="3" s="1"/>
  <c r="D60" i="3"/>
  <c r="L60" i="3"/>
  <c r="E60" i="3"/>
  <c r="M60" i="3" s="1"/>
  <c r="F60" i="3"/>
  <c r="N60" i="3"/>
  <c r="J14" i="3"/>
  <c r="G60" i="3" s="1"/>
  <c r="O60" i="3" s="1"/>
  <c r="K14" i="3"/>
  <c r="H60" i="3" s="1"/>
  <c r="P60" i="3" s="1"/>
  <c r="I60" i="3"/>
  <c r="Q60" i="3"/>
  <c r="J60" i="3"/>
  <c r="R60" i="3" s="1"/>
  <c r="K60" i="3"/>
  <c r="S60" i="3"/>
  <c r="D61" i="3"/>
  <c r="L61" i="3"/>
  <c r="E61" i="3"/>
  <c r="M61" i="3" s="1"/>
  <c r="F61" i="3"/>
  <c r="N61" i="3"/>
  <c r="J15" i="3"/>
  <c r="G61" i="3" s="1"/>
  <c r="O61" i="3" s="1"/>
  <c r="K15" i="3"/>
  <c r="H61" i="3"/>
  <c r="P61" i="3" s="1"/>
  <c r="I61" i="3"/>
  <c r="Q61" i="3"/>
  <c r="J61" i="3"/>
  <c r="R61" i="3" s="1"/>
  <c r="K61" i="3"/>
  <c r="S61" i="3"/>
  <c r="D62" i="3"/>
  <c r="L62" i="3" s="1"/>
  <c r="E62" i="3"/>
  <c r="M62" i="3"/>
  <c r="F62" i="3"/>
  <c r="N62" i="3" s="1"/>
  <c r="J16" i="3"/>
  <c r="G62" i="3"/>
  <c r="O62" i="3" s="1"/>
  <c r="K16" i="3"/>
  <c r="H62" i="3"/>
  <c r="P62" i="3"/>
  <c r="I62" i="3"/>
  <c r="Q62" i="3" s="1"/>
  <c r="J62" i="3"/>
  <c r="R62" i="3"/>
  <c r="K62" i="3"/>
  <c r="S62" i="3" s="1"/>
  <c r="D63" i="3"/>
  <c r="L63" i="3" s="1"/>
  <c r="E63" i="3"/>
  <c r="M63" i="3"/>
  <c r="F63" i="3"/>
  <c r="N63" i="3" s="1"/>
  <c r="J17" i="3"/>
  <c r="G63" i="3"/>
  <c r="O63" i="3"/>
  <c r="K17" i="3"/>
  <c r="H63" i="3" s="1"/>
  <c r="P63" i="3" s="1"/>
  <c r="I63" i="3"/>
  <c r="Q63" i="3" s="1"/>
  <c r="J63" i="3"/>
  <c r="R63" i="3"/>
  <c r="K63" i="3"/>
  <c r="S63" i="3" s="1"/>
  <c r="D64" i="3"/>
  <c r="L64" i="3"/>
  <c r="E64" i="3"/>
  <c r="M64" i="3" s="1"/>
  <c r="F64" i="3"/>
  <c r="N64" i="3"/>
  <c r="J18" i="3"/>
  <c r="G64" i="3" s="1"/>
  <c r="O64" i="3" s="1"/>
  <c r="K18" i="3"/>
  <c r="H64" i="3" s="1"/>
  <c r="P64" i="3" s="1"/>
  <c r="I64" i="3"/>
  <c r="Q64" i="3"/>
  <c r="J64" i="3"/>
  <c r="R64" i="3" s="1"/>
  <c r="K64" i="3"/>
  <c r="S64" i="3"/>
  <c r="D65" i="3"/>
  <c r="L65" i="3"/>
  <c r="E65" i="3"/>
  <c r="M65" i="3" s="1"/>
  <c r="F65" i="3"/>
  <c r="N65" i="3"/>
  <c r="J19" i="3"/>
  <c r="G65" i="3" s="1"/>
  <c r="O65" i="3" s="1"/>
  <c r="K19" i="3"/>
  <c r="H65" i="3"/>
  <c r="P65" i="3" s="1"/>
  <c r="I65" i="3"/>
  <c r="Q65" i="3"/>
  <c r="J65" i="3"/>
  <c r="R65" i="3" s="1"/>
  <c r="K65" i="3"/>
  <c r="S65" i="3"/>
  <c r="D66" i="3"/>
  <c r="L66" i="3" s="1"/>
  <c r="E66" i="3"/>
  <c r="M66" i="3"/>
  <c r="F66" i="3"/>
  <c r="N66" i="3" s="1"/>
  <c r="J20" i="3"/>
  <c r="G66" i="3"/>
  <c r="O66" i="3" s="1"/>
  <c r="K20" i="3"/>
  <c r="H66" i="3"/>
  <c r="P66" i="3"/>
  <c r="I66" i="3"/>
  <c r="Q66" i="3" s="1"/>
  <c r="J66" i="3"/>
  <c r="R66" i="3"/>
  <c r="K66" i="3"/>
  <c r="S66" i="3" s="1"/>
  <c r="D67" i="3"/>
  <c r="L67" i="3" s="1"/>
  <c r="E67" i="3"/>
  <c r="M67" i="3"/>
  <c r="F67" i="3"/>
  <c r="N67" i="3" s="1"/>
  <c r="J21" i="3"/>
  <c r="G67" i="3"/>
  <c r="O67" i="3"/>
  <c r="K21" i="3"/>
  <c r="H67" i="3" s="1"/>
  <c r="P67" i="3" s="1"/>
  <c r="I67" i="3"/>
  <c r="Q67" i="3" s="1"/>
  <c r="J67" i="3"/>
  <c r="R67" i="3"/>
  <c r="K67" i="3"/>
  <c r="S67" i="3" s="1"/>
  <c r="D68" i="3"/>
  <c r="L68" i="3"/>
  <c r="E68" i="3"/>
  <c r="M68" i="3" s="1"/>
  <c r="F68" i="3"/>
  <c r="N68" i="3"/>
  <c r="J22" i="3"/>
  <c r="G68" i="3" s="1"/>
  <c r="O68" i="3" s="1"/>
  <c r="K22" i="3"/>
  <c r="H68" i="3" s="1"/>
  <c r="P68" i="3" s="1"/>
  <c r="I68" i="3"/>
  <c r="Q68" i="3"/>
  <c r="J68" i="3"/>
  <c r="R68" i="3" s="1"/>
  <c r="K68" i="3"/>
  <c r="S68" i="3"/>
  <c r="D69" i="3"/>
  <c r="L69" i="3"/>
  <c r="E69" i="3"/>
  <c r="M69" i="3" s="1"/>
  <c r="F69" i="3"/>
  <c r="N69" i="3"/>
  <c r="J23" i="3"/>
  <c r="G69" i="3" s="1"/>
  <c r="O69" i="3" s="1"/>
  <c r="K23" i="3"/>
  <c r="H69" i="3"/>
  <c r="P69" i="3" s="1"/>
  <c r="I69" i="3"/>
  <c r="Q69" i="3"/>
  <c r="J69" i="3"/>
  <c r="R69" i="3" s="1"/>
  <c r="K69" i="3"/>
  <c r="S69" i="3"/>
  <c r="D70" i="3"/>
  <c r="L70" i="3" s="1"/>
  <c r="E70" i="3"/>
  <c r="M70" i="3"/>
  <c r="F70" i="3"/>
  <c r="N70" i="3" s="1"/>
  <c r="J24" i="3"/>
  <c r="G70" i="3"/>
  <c r="O70" i="3" s="1"/>
  <c r="K24" i="3"/>
  <c r="H70" i="3"/>
  <c r="P70" i="3"/>
  <c r="I70" i="3"/>
  <c r="Q70" i="3" s="1"/>
  <c r="J70" i="3"/>
  <c r="R70" i="3"/>
  <c r="K70" i="3"/>
  <c r="S70" i="3" s="1"/>
  <c r="D71" i="3"/>
  <c r="L71" i="3" s="1"/>
  <c r="E71" i="3"/>
  <c r="M71" i="3"/>
  <c r="F71" i="3"/>
  <c r="N71" i="3" s="1"/>
  <c r="J25" i="3"/>
  <c r="G71" i="3"/>
  <c r="O71" i="3"/>
  <c r="K25" i="3"/>
  <c r="H71" i="3" s="1"/>
  <c r="P71" i="3" s="1"/>
  <c r="I71" i="3"/>
  <c r="Q71" i="3" s="1"/>
  <c r="J71" i="3"/>
  <c r="R71" i="3"/>
  <c r="K71" i="3"/>
  <c r="S71" i="3" s="1"/>
  <c r="D72" i="3"/>
  <c r="L72" i="3"/>
  <c r="E72" i="3"/>
  <c r="M72" i="3" s="1"/>
  <c r="F72" i="3"/>
  <c r="N72" i="3"/>
  <c r="J26" i="3"/>
  <c r="G72" i="3" s="1"/>
  <c r="O72" i="3" s="1"/>
  <c r="K26" i="3"/>
  <c r="H72" i="3" s="1"/>
  <c r="P72" i="3" s="1"/>
  <c r="I72" i="3"/>
  <c r="Q72" i="3"/>
  <c r="J72" i="3"/>
  <c r="R72" i="3" s="1"/>
  <c r="K72" i="3"/>
  <c r="S72" i="3"/>
  <c r="D73" i="3"/>
  <c r="L73" i="3"/>
  <c r="E73" i="3"/>
  <c r="M73" i="3" s="1"/>
  <c r="F73" i="3"/>
  <c r="N73" i="3"/>
  <c r="J27" i="3"/>
  <c r="G73" i="3" s="1"/>
  <c r="O73" i="3" s="1"/>
  <c r="K27" i="3"/>
  <c r="H73" i="3"/>
  <c r="P73" i="3" s="1"/>
  <c r="I73" i="3"/>
  <c r="Q73" i="3"/>
  <c r="J73" i="3"/>
  <c r="R73" i="3" s="1"/>
  <c r="K73" i="3"/>
  <c r="S73" i="3"/>
  <c r="D74" i="3"/>
  <c r="L74" i="3" s="1"/>
  <c r="E74" i="3"/>
  <c r="M74" i="3"/>
  <c r="F74" i="3"/>
  <c r="N74" i="3" s="1"/>
  <c r="J28" i="3"/>
  <c r="G74" i="3"/>
  <c r="O74" i="3" s="1"/>
  <c r="K28" i="3"/>
  <c r="H74" i="3"/>
  <c r="P74" i="3"/>
  <c r="I74" i="3"/>
  <c r="Q74" i="3" s="1"/>
  <c r="J74" i="3"/>
  <c r="R74" i="3"/>
  <c r="K74" i="3"/>
  <c r="S74" i="3" s="1"/>
  <c r="D75" i="3"/>
  <c r="L75" i="3" s="1"/>
  <c r="E75" i="3"/>
  <c r="M75" i="3"/>
  <c r="F75" i="3"/>
  <c r="N75" i="3" s="1"/>
  <c r="J29" i="3"/>
  <c r="G75" i="3"/>
  <c r="O75" i="3"/>
  <c r="K29" i="3"/>
  <c r="H75" i="3" s="1"/>
  <c r="P75" i="3" s="1"/>
  <c r="I75" i="3"/>
  <c r="Q75" i="3" s="1"/>
  <c r="J75" i="3"/>
  <c r="R75" i="3"/>
  <c r="K75" i="3"/>
  <c r="S75" i="3" s="1"/>
  <c r="D76" i="3"/>
  <c r="L76" i="3"/>
  <c r="E76" i="3"/>
  <c r="M76" i="3" s="1"/>
  <c r="F76" i="3"/>
  <c r="N76" i="3"/>
  <c r="J30" i="3"/>
  <c r="G76" i="3" s="1"/>
  <c r="O76" i="3" s="1"/>
  <c r="K30" i="3"/>
  <c r="H76" i="3" s="1"/>
  <c r="P76" i="3" s="1"/>
  <c r="I76" i="3"/>
  <c r="Q76" i="3"/>
  <c r="J76" i="3"/>
  <c r="R76" i="3" s="1"/>
  <c r="K76" i="3"/>
  <c r="S76" i="3"/>
  <c r="D77" i="3"/>
  <c r="L77" i="3"/>
  <c r="E77" i="3"/>
  <c r="M77" i="3" s="1"/>
  <c r="F77" i="3"/>
  <c r="N77" i="3"/>
  <c r="J31" i="3"/>
  <c r="G77" i="3" s="1"/>
  <c r="O77" i="3" s="1"/>
  <c r="K31" i="3"/>
  <c r="H77" i="3" s="1"/>
  <c r="P77" i="3" s="1"/>
  <c r="I77" i="3"/>
  <c r="Q77" i="3"/>
  <c r="J77" i="3"/>
  <c r="R77" i="3" s="1"/>
  <c r="K77" i="3"/>
  <c r="S77" i="3"/>
  <c r="D78" i="3"/>
  <c r="L78" i="3" s="1"/>
  <c r="E78" i="3"/>
  <c r="M78" i="3"/>
  <c r="F78" i="3"/>
  <c r="N78" i="3" s="1"/>
  <c r="J32" i="3"/>
  <c r="G78" i="3" s="1"/>
  <c r="O78" i="3" s="1"/>
  <c r="K32" i="3"/>
  <c r="H78" i="3"/>
  <c r="P78" i="3" s="1"/>
  <c r="I78" i="3"/>
  <c r="Q78" i="3" s="1"/>
  <c r="J78" i="3"/>
  <c r="R78" i="3"/>
  <c r="K78" i="3"/>
  <c r="S78" i="3" s="1"/>
  <c r="D80" i="3"/>
  <c r="L80" i="3"/>
  <c r="E80" i="3"/>
  <c r="M80" i="3"/>
  <c r="F80" i="3"/>
  <c r="N80" i="3"/>
  <c r="J34" i="3"/>
  <c r="G80" i="3"/>
  <c r="O80" i="3" s="1"/>
  <c r="K34" i="3"/>
  <c r="H80" i="3" s="1"/>
  <c r="P80" i="3" s="1"/>
  <c r="I80" i="3"/>
  <c r="Q80" i="3" s="1"/>
  <c r="J80" i="3"/>
  <c r="R80" i="3" s="1"/>
  <c r="K80" i="3"/>
  <c r="S80" i="3" s="1"/>
  <c r="D81" i="3"/>
  <c r="L81" i="3"/>
  <c r="E81" i="3"/>
  <c r="M81" i="3"/>
  <c r="F81" i="3"/>
  <c r="N81" i="3"/>
  <c r="J35" i="3"/>
  <c r="G81" i="3"/>
  <c r="O81" i="3" s="1"/>
  <c r="K35" i="3"/>
  <c r="H81" i="3" s="1"/>
  <c r="P81" i="3" s="1"/>
  <c r="I81" i="3"/>
  <c r="Q81" i="3"/>
  <c r="J81" i="3"/>
  <c r="R81" i="3"/>
  <c r="K81" i="3"/>
  <c r="S81" i="3"/>
  <c r="D82" i="3"/>
  <c r="L82" i="3" s="1"/>
  <c r="E82" i="3"/>
  <c r="M82" i="3" s="1"/>
  <c r="F82" i="3"/>
  <c r="N82" i="3" s="1"/>
  <c r="J36" i="3"/>
  <c r="G82" i="3" s="1"/>
  <c r="O82" i="3" s="1"/>
  <c r="K36" i="3"/>
  <c r="H82" i="3"/>
  <c r="P82" i="3" s="1"/>
  <c r="I82" i="3"/>
  <c r="Q82" i="3" s="1"/>
  <c r="J82" i="3"/>
  <c r="R82" i="3" s="1"/>
  <c r="K82" i="3"/>
  <c r="S82" i="3" s="1"/>
  <c r="D83" i="3"/>
  <c r="L83" i="3"/>
  <c r="E83" i="3"/>
  <c r="M83" i="3"/>
  <c r="F83" i="3"/>
  <c r="N83" i="3"/>
  <c r="J37" i="3"/>
  <c r="G83" i="3"/>
  <c r="O83" i="3" s="1"/>
  <c r="K37" i="3"/>
  <c r="H83" i="3" s="1"/>
  <c r="P83" i="3" s="1"/>
  <c r="I83" i="3"/>
  <c r="Q83" i="3"/>
  <c r="J83" i="3"/>
  <c r="R83" i="3"/>
  <c r="K83" i="3"/>
  <c r="S83" i="3"/>
  <c r="D84" i="3"/>
  <c r="L84" i="3" s="1"/>
  <c r="E84" i="3"/>
  <c r="M84" i="3" s="1"/>
  <c r="F84" i="3"/>
  <c r="N84" i="3" s="1"/>
  <c r="J38" i="3"/>
  <c r="G84" i="3" s="1"/>
  <c r="O84" i="3" s="1"/>
  <c r="K38" i="3"/>
  <c r="H84" i="3"/>
  <c r="P84" i="3" s="1"/>
  <c r="I84" i="3"/>
  <c r="Q84" i="3" s="1"/>
  <c r="J84" i="3"/>
  <c r="R84" i="3" s="1"/>
  <c r="K84" i="3"/>
  <c r="S84" i="3" s="1"/>
  <c r="D85" i="3"/>
  <c r="L85" i="3"/>
  <c r="E85" i="3"/>
  <c r="M85" i="3"/>
  <c r="F85" i="3"/>
  <c r="N85" i="3"/>
  <c r="J39" i="3"/>
  <c r="G85" i="3"/>
  <c r="O85" i="3" s="1"/>
  <c r="K39" i="3"/>
  <c r="H85" i="3" s="1"/>
  <c r="P85" i="3"/>
  <c r="I85" i="3"/>
  <c r="Q85" i="3"/>
  <c r="J85" i="3"/>
  <c r="R85" i="3"/>
  <c r="K85" i="3"/>
  <c r="S85" i="3"/>
  <c r="D86" i="3"/>
  <c r="E86" i="3"/>
  <c r="M86" i="3" s="1"/>
  <c r="F86" i="3"/>
  <c r="N86" i="3" s="1"/>
  <c r="J40" i="3"/>
  <c r="G86" i="3" s="1"/>
  <c r="O86" i="3" s="1"/>
  <c r="K40" i="3"/>
  <c r="H86" i="3"/>
  <c r="P86" i="3" s="1"/>
  <c r="I86" i="3"/>
  <c r="Q86" i="3" s="1"/>
  <c r="J86" i="3"/>
  <c r="R86" i="3" s="1"/>
  <c r="K86" i="3"/>
  <c r="S86" i="3" s="1"/>
  <c r="D87" i="3"/>
  <c r="L87" i="3"/>
  <c r="E87" i="3"/>
  <c r="M87" i="3"/>
  <c r="F87" i="3"/>
  <c r="N87" i="3"/>
  <c r="J41" i="3"/>
  <c r="G87" i="3"/>
  <c r="O87" i="3" s="1"/>
  <c r="K41" i="3"/>
  <c r="H87" i="3" s="1"/>
  <c r="P87" i="3" s="1"/>
  <c r="I87" i="3"/>
  <c r="Q87" i="3"/>
  <c r="J87" i="3"/>
  <c r="R87" i="3"/>
  <c r="K87" i="3"/>
  <c r="S87" i="3"/>
  <c r="D88" i="3"/>
  <c r="L88" i="3" s="1"/>
  <c r="E88" i="3"/>
  <c r="M88" i="3" s="1"/>
  <c r="F88" i="3"/>
  <c r="N88" i="3" s="1"/>
  <c r="J42" i="3"/>
  <c r="G88" i="3" s="1"/>
  <c r="O88" i="3" s="1"/>
  <c r="K42" i="3"/>
  <c r="H88" i="3"/>
  <c r="P88" i="3" s="1"/>
  <c r="I88" i="3"/>
  <c r="Q88" i="3" s="1"/>
  <c r="J88" i="3"/>
  <c r="R88" i="3" s="1"/>
  <c r="K88" i="3"/>
  <c r="S88" i="3" s="1"/>
  <c r="C2" i="2"/>
  <c r="O27" i="1"/>
  <c r="P40" i="1" s="1"/>
  <c r="P41" i="1"/>
  <c r="P37" i="1"/>
  <c r="O34" i="1"/>
  <c r="S33" i="1"/>
  <c r="T35" i="1" s="1"/>
  <c r="T39" i="1"/>
  <c r="T62" i="3"/>
  <c r="T66" i="3"/>
  <c r="T70" i="3"/>
  <c r="T74" i="3"/>
  <c r="T82" i="3"/>
  <c r="T87" i="3"/>
  <c r="T79" i="3"/>
  <c r="T71" i="3"/>
  <c r="T63" i="3"/>
  <c r="T55" i="3"/>
  <c r="T83" i="3"/>
  <c r="T80" i="3"/>
  <c r="T75" i="3"/>
  <c r="T73" i="3"/>
  <c r="T72" i="3"/>
  <c r="T67" i="3"/>
  <c r="T65" i="3"/>
  <c r="T64" i="3"/>
  <c r="T59" i="3"/>
  <c r="T85" i="3"/>
  <c r="T77" i="3"/>
  <c r="T69" i="3"/>
  <c r="T68" i="3"/>
  <c r="T61" i="3"/>
  <c r="T60" i="3"/>
  <c r="T58" i="3"/>
  <c r="T57" i="3"/>
  <c r="T56" i="3"/>
  <c r="T50" i="3"/>
  <c r="T52" i="3"/>
  <c r="T54" i="3"/>
  <c r="T51" i="3"/>
  <c r="T53" i="3"/>
  <c r="U53" i="3" l="1"/>
  <c r="M42" i="1"/>
  <c r="M39" i="1"/>
  <c r="L42" i="1"/>
  <c r="M36" i="1"/>
  <c r="M40" i="1"/>
  <c r="L40" i="1"/>
  <c r="L43" i="1"/>
  <c r="M38" i="1"/>
  <c r="L37" i="1"/>
  <c r="M35" i="1"/>
  <c r="L36" i="1"/>
  <c r="M37" i="1"/>
  <c r="M41" i="1"/>
  <c r="L35" i="1"/>
  <c r="L41" i="1"/>
  <c r="U57" i="3"/>
  <c r="U88" i="3"/>
  <c r="U61" i="3"/>
  <c r="U73" i="3"/>
  <c r="U84" i="3"/>
  <c r="U69" i="3"/>
  <c r="U65" i="3"/>
  <c r="U87" i="3"/>
  <c r="U82" i="3"/>
  <c r="U80" i="3"/>
  <c r="U77" i="3"/>
  <c r="T42" i="1"/>
  <c r="T38" i="1"/>
  <c r="T41" i="1"/>
  <c r="T37" i="1"/>
  <c r="T40" i="1"/>
  <c r="T36" i="1"/>
  <c r="U85" i="3"/>
  <c r="L86" i="3"/>
  <c r="U86" i="3" s="1"/>
  <c r="T86" i="3"/>
  <c r="U83" i="3"/>
  <c r="U81" i="3"/>
  <c r="U78" i="3"/>
  <c r="U67" i="3"/>
  <c r="U62" i="3"/>
  <c r="U56" i="3"/>
  <c r="U51" i="3"/>
  <c r="U72" i="3"/>
  <c r="T84" i="3"/>
  <c r="T88" i="3"/>
  <c r="T78" i="3"/>
  <c r="O33" i="1"/>
  <c r="P38" i="1"/>
  <c r="P42" i="1"/>
  <c r="U76" i="3"/>
  <c r="U71" i="3"/>
  <c r="U66" i="3"/>
  <c r="U60" i="3"/>
  <c r="U55" i="3"/>
  <c r="U75" i="3"/>
  <c r="U70" i="3"/>
  <c r="U64" i="3"/>
  <c r="U59" i="3"/>
  <c r="U54" i="3"/>
  <c r="U50" i="3"/>
  <c r="P35" i="1"/>
  <c r="P39" i="1"/>
  <c r="T76" i="3"/>
  <c r="T81" i="3"/>
  <c r="Q33" i="1"/>
  <c r="O29" i="1"/>
  <c r="P36" i="1"/>
  <c r="U74" i="3"/>
  <c r="U68" i="3"/>
  <c r="U63" i="3"/>
  <c r="U58" i="3"/>
  <c r="U52" i="3"/>
  <c r="U79" i="3"/>
  <c r="L38" i="1"/>
  <c r="L33" i="1"/>
  <c r="B61" i="3" l="1"/>
  <c r="B88" i="3"/>
  <c r="B58" i="3"/>
  <c r="B75" i="3"/>
  <c r="B72" i="3"/>
  <c r="B63" i="3"/>
  <c r="B76" i="3"/>
  <c r="B87" i="3"/>
  <c r="L34" i="1"/>
  <c r="M43" i="1"/>
  <c r="B54" i="3"/>
  <c r="S41" i="1"/>
  <c r="S37" i="1"/>
  <c r="Q41" i="1"/>
  <c r="Q37" i="1"/>
  <c r="O41" i="1"/>
  <c r="O37" i="1"/>
  <c r="S40" i="1"/>
  <c r="S36" i="1"/>
  <c r="Q40" i="1"/>
  <c r="O40" i="1"/>
  <c r="O36" i="1"/>
  <c r="Q36" i="1"/>
  <c r="S39" i="1"/>
  <c r="S35" i="1"/>
  <c r="Q39" i="1"/>
  <c r="Q35" i="1"/>
  <c r="O39" i="1"/>
  <c r="O35" i="1"/>
  <c r="Q38" i="1"/>
  <c r="S42" i="1"/>
  <c r="O42" i="1"/>
  <c r="S38" i="1"/>
  <c r="Q42" i="1"/>
  <c r="O38" i="1"/>
  <c r="B82" i="3"/>
  <c r="B59" i="3"/>
  <c r="B55" i="3"/>
  <c r="B51" i="3"/>
  <c r="B78" i="3"/>
  <c r="B79" i="3"/>
  <c r="B68" i="3"/>
  <c r="R39" i="1"/>
  <c r="R35" i="1"/>
  <c r="R42" i="1"/>
  <c r="R38" i="1"/>
  <c r="R41" i="1"/>
  <c r="R37" i="1"/>
  <c r="R40" i="1"/>
  <c r="R36" i="1"/>
  <c r="B64" i="3"/>
  <c r="B60" i="3"/>
  <c r="B56" i="3"/>
  <c r="B81" i="3"/>
  <c r="B85" i="3"/>
  <c r="B77" i="3"/>
  <c r="B71" i="3"/>
  <c r="B67" i="3"/>
  <c r="B86" i="3"/>
  <c r="B52" i="3"/>
  <c r="B74" i="3"/>
  <c r="B53" i="3"/>
  <c r="B50" i="3"/>
  <c r="B57" i="3"/>
  <c r="B65" i="3"/>
  <c r="B69" i="3"/>
  <c r="B73" i="3"/>
  <c r="B70" i="3"/>
  <c r="B66" i="3"/>
  <c r="B62" i="3"/>
  <c r="B83" i="3"/>
  <c r="B80" i="3"/>
  <c r="B84" i="3"/>
  <c r="E56" i="1" l="1"/>
  <c r="B20" i="6" s="1"/>
  <c r="J62" i="1"/>
  <c r="J66" i="1"/>
  <c r="E68" i="1"/>
  <c r="E64" i="1"/>
  <c r="J72" i="1"/>
  <c r="E58" i="1"/>
  <c r="B22" i="6" s="1"/>
  <c r="E54" i="1"/>
  <c r="B18" i="6" s="1"/>
  <c r="J56" i="1"/>
  <c r="J68" i="1"/>
  <c r="E70" i="1"/>
  <c r="E66" i="1"/>
  <c r="J70" i="1"/>
  <c r="E62" i="1"/>
  <c r="E60" i="1"/>
  <c r="J60" i="1"/>
  <c r="J64" i="1"/>
  <c r="J58" i="1"/>
  <c r="J54" i="1"/>
  <c r="E72" i="1"/>
</calcChain>
</file>

<file path=xl/sharedStrings.xml><?xml version="1.0" encoding="utf-8"?>
<sst xmlns="http://schemas.openxmlformats.org/spreadsheetml/2006/main" count="395" uniqueCount="209">
  <si>
    <t>Nord_Pas_de_Calais_Picardie</t>
  </si>
  <si>
    <t>Bourgogne_Franche_Comté</t>
  </si>
  <si>
    <t>Champagne_Alsace_Lorraine</t>
  </si>
  <si>
    <t>Ile_de_France</t>
  </si>
  <si>
    <t>Centre</t>
  </si>
  <si>
    <t>Normandie</t>
  </si>
  <si>
    <t>Bretagne</t>
  </si>
  <si>
    <t>Pays_de_la_Loire</t>
  </si>
  <si>
    <t>Aquitaine</t>
  </si>
  <si>
    <t>Languedoc_Roussillon</t>
  </si>
  <si>
    <t>Provence_Alpes_Côte_dAzur</t>
  </si>
  <si>
    <t>Corse</t>
  </si>
  <si>
    <t>Auvergne_Rhône_Alpes</t>
  </si>
  <si>
    <t>Total</t>
  </si>
  <si>
    <t>Villes</t>
  </si>
  <si>
    <t>Orléans</t>
  </si>
  <si>
    <t>Bordeaux</t>
  </si>
  <si>
    <t>Paris</t>
  </si>
  <si>
    <t>Poids</t>
  </si>
  <si>
    <t>Valeur</t>
  </si>
  <si>
    <t>Peu Important</t>
  </si>
  <si>
    <t>Importance Moyenne</t>
  </si>
  <si>
    <t>Important</t>
  </si>
  <si>
    <t>Très Important</t>
  </si>
  <si>
    <t>Essentiel</t>
  </si>
  <si>
    <t>Importance associée par l'utilisateur</t>
  </si>
  <si>
    <t>Importance de la valeur</t>
  </si>
  <si>
    <t>Liste des critères et valeurs associées classés par ville</t>
  </si>
  <si>
    <t>Poids des valeurs par critères et poids pondéré selon l'utilisateur</t>
  </si>
  <si>
    <t>PU 1</t>
  </si>
  <si>
    <t>PU 2</t>
  </si>
  <si>
    <t>PU 3</t>
  </si>
  <si>
    <t>PU 4</t>
  </si>
  <si>
    <t>PP 1</t>
  </si>
  <si>
    <t>PP 2</t>
  </si>
  <si>
    <t>PP 3</t>
  </si>
  <si>
    <t>PP 4</t>
  </si>
  <si>
    <t>Total PU</t>
  </si>
  <si>
    <t>Total PP</t>
  </si>
  <si>
    <t>Poids Unitaire (PU)</t>
  </si>
  <si>
    <t>Poids Pondéré (PP)</t>
  </si>
  <si>
    <t>Je veux absolument:</t>
  </si>
  <si>
    <t>Pour cela, rien de plus simple, selectionnez les incontournables de votre voyage et nous trouverons pour vous le lieu le plus adapté à toutes vos envies</t>
  </si>
  <si>
    <t>Sans ça je ne serais pas entièrement satisfait :</t>
  </si>
  <si>
    <t>Ce serait un plus si il y a :</t>
  </si>
  <si>
    <t>Cela est possible avec :</t>
  </si>
  <si>
    <t>Dans mes rêves les plus fous il y a :</t>
  </si>
  <si>
    <t>Selectionnez les critères incontournables de votre lieu de villégiature ou de vie :</t>
  </si>
  <si>
    <t>PU 5</t>
  </si>
  <si>
    <t>PU 6</t>
  </si>
  <si>
    <t>PU 7</t>
  </si>
  <si>
    <t>PU 8</t>
  </si>
  <si>
    <t>PP 5</t>
  </si>
  <si>
    <t>PP 6</t>
  </si>
  <si>
    <t>PP 7</t>
  </si>
  <si>
    <t>PP 8</t>
  </si>
  <si>
    <t>Incontournable</t>
  </si>
  <si>
    <t>Pas Important</t>
  </si>
  <si>
    <t>Moyennement important</t>
  </si>
  <si>
    <t>Très important</t>
  </si>
  <si>
    <t>Voici les villes qui correspondent à votre recherche:</t>
  </si>
  <si>
    <t>Lille</t>
  </si>
  <si>
    <t>Dunkerque</t>
  </si>
  <si>
    <t>Calais</t>
  </si>
  <si>
    <t>Cherbourg</t>
  </si>
  <si>
    <t>Le Havre</t>
  </si>
  <si>
    <t>Caen</t>
  </si>
  <si>
    <t>Strasbourg</t>
  </si>
  <si>
    <t>Metz</t>
  </si>
  <si>
    <t>Nancy</t>
  </si>
  <si>
    <t>Meaux</t>
  </si>
  <si>
    <t>Melun</t>
  </si>
  <si>
    <t>Brest</t>
  </si>
  <si>
    <t>Quimper</t>
  </si>
  <si>
    <t>Rennes</t>
  </si>
  <si>
    <t>Nantes</t>
  </si>
  <si>
    <t>Angers</t>
  </si>
  <si>
    <t>Le Mans</t>
  </si>
  <si>
    <t>Tours</t>
  </si>
  <si>
    <t>Blois</t>
  </si>
  <si>
    <t>Besançon</t>
  </si>
  <si>
    <t>Châlon-sur-Saône</t>
  </si>
  <si>
    <t>Montbéliard</t>
  </si>
  <si>
    <t>Pau</t>
  </si>
  <si>
    <t>Bayonne</t>
  </si>
  <si>
    <t>Chambéry</t>
  </si>
  <si>
    <t>Grenoble</t>
  </si>
  <si>
    <t>Lyon</t>
  </si>
  <si>
    <t>Perpignan</t>
  </si>
  <si>
    <t>Montpellier</t>
  </si>
  <si>
    <t>Carcassone</t>
  </si>
  <si>
    <t>Nice</t>
  </si>
  <si>
    <t>Marseille -Aix en provence</t>
  </si>
  <si>
    <t>Fréjus</t>
  </si>
  <si>
    <t>Bastia</t>
  </si>
  <si>
    <t>Corte</t>
  </si>
  <si>
    <t>Ajaccio</t>
  </si>
  <si>
    <t>Rang</t>
  </si>
  <si>
    <t>Top 10 des villes à visiter</t>
  </si>
  <si>
    <t>TOP 1</t>
  </si>
  <si>
    <t>TOP 2</t>
  </si>
  <si>
    <t>TOP 3</t>
  </si>
  <si>
    <t>TOP 4</t>
  </si>
  <si>
    <t>TOP 5</t>
  </si>
  <si>
    <t>TOP 6</t>
  </si>
  <si>
    <t>TOP 7</t>
  </si>
  <si>
    <t>TOP 8</t>
  </si>
  <si>
    <t>TOP 9</t>
  </si>
  <si>
    <t>TOP 10</t>
  </si>
  <si>
    <t>Nom</t>
  </si>
  <si>
    <t>Une folle envie de partir en vacance ou vous souhaitez vous installer dans l'une des plus belles villes de France, votre moteur de recherche trouvera pour vous la ville idéale pour satisfaire à toutes vos attentes</t>
  </si>
  <si>
    <t>Top 10 des villes à éviter</t>
  </si>
  <si>
    <t>FLOP 1</t>
  </si>
  <si>
    <t>FLOP 2</t>
  </si>
  <si>
    <t>FLOP 3</t>
  </si>
  <si>
    <t>FLOP 4</t>
  </si>
  <si>
    <t>FLOP 5</t>
  </si>
  <si>
    <t>FLOP 6</t>
  </si>
  <si>
    <t>FLOP 7</t>
  </si>
  <si>
    <t>FLOP 8</t>
  </si>
  <si>
    <t>FLOP 9</t>
  </si>
  <si>
    <t>FLOP 10</t>
  </si>
  <si>
    <t>Ville</t>
  </si>
  <si>
    <t>Information sur la ville selectionné:</t>
  </si>
  <si>
    <t>Nbre d'habitant</t>
  </si>
  <si>
    <t xml:space="preserve">Taux de chômage </t>
  </si>
  <si>
    <t>Nbre de restaurant</t>
  </si>
  <si>
    <t>Nbre d'école</t>
  </si>
  <si>
    <t>Nbre d'hopitaux</t>
  </si>
  <si>
    <t>Nbre de jour où il pleut</t>
  </si>
  <si>
    <t>Prix moyen du m²</t>
  </si>
  <si>
    <t>Nombre d'hôtel</t>
  </si>
  <si>
    <t>Nbre d'école/Hab</t>
  </si>
  <si>
    <t>Nbre d'hopitaux/hab</t>
  </si>
  <si>
    <t>De nombreux habitants</t>
  </si>
  <si>
    <t>Peu de chômage</t>
  </si>
  <si>
    <t>De nombreux restaurants</t>
  </si>
  <si>
    <t>Plusieurs écoles</t>
  </si>
  <si>
    <t>De nombreux hôpitaux</t>
  </si>
  <si>
    <t>Peu de pluit</t>
  </si>
  <si>
    <t>Un prix au m² faible</t>
  </si>
  <si>
    <t>De nombreux hôtels</t>
  </si>
  <si>
    <t>Région</t>
  </si>
  <si>
    <t>Ellipse 54</t>
  </si>
  <si>
    <t>Ellipse 56</t>
  </si>
  <si>
    <t>LA VILLE CHOISIE</t>
  </si>
  <si>
    <t>Ellipse 57</t>
  </si>
  <si>
    <t>Ellipse 58</t>
  </si>
  <si>
    <t>Ellipse 60</t>
  </si>
  <si>
    <t>Ellipse 59</t>
  </si>
  <si>
    <t>Ellipse 63</t>
  </si>
  <si>
    <t>Ellipse 64</t>
  </si>
  <si>
    <t>Ellipse 65</t>
  </si>
  <si>
    <t>Ellipse 66</t>
  </si>
  <si>
    <t>Ellipse 67</t>
  </si>
  <si>
    <t>Ellipse 68</t>
  </si>
  <si>
    <t>Ellipse 69</t>
  </si>
  <si>
    <t>Ellipse 70</t>
  </si>
  <si>
    <t>Ellipse 71</t>
  </si>
  <si>
    <t>Ellipse 72</t>
  </si>
  <si>
    <t>Ellipse 73</t>
  </si>
  <si>
    <t>Ellipse 74</t>
  </si>
  <si>
    <t>Ellipse 75</t>
  </si>
  <si>
    <t>Ellipse 76</t>
  </si>
  <si>
    <t>Ellipse 77</t>
  </si>
  <si>
    <t>Ellipse 78</t>
  </si>
  <si>
    <t>Ellipse 79</t>
  </si>
  <si>
    <t>Ellipse 80</t>
  </si>
  <si>
    <t>Ellipse 81</t>
  </si>
  <si>
    <t>Ellipse 82</t>
  </si>
  <si>
    <t>Ellipse 83</t>
  </si>
  <si>
    <t>Ellipse 84</t>
  </si>
  <si>
    <t>Ellipse 85</t>
  </si>
  <si>
    <t>Ellipse 86</t>
  </si>
  <si>
    <t>Ellipse 87</t>
  </si>
  <si>
    <t>Ellipse 88</t>
  </si>
  <si>
    <t>Ellipse 89</t>
  </si>
  <si>
    <t>Ellipse 90</t>
  </si>
  <si>
    <t>Ellipse 91</t>
  </si>
  <si>
    <t>Ellipse 92</t>
  </si>
  <si>
    <t>Ellipse 93</t>
  </si>
  <si>
    <t>Ellipse 94</t>
  </si>
  <si>
    <t>Ellipse 95</t>
  </si>
  <si>
    <t>Nom de la ville</t>
  </si>
  <si>
    <t>Les points de ville</t>
  </si>
  <si>
    <t>Bourgogne France Comté</t>
  </si>
  <si>
    <t>Champagne Alsace Lorraine</t>
  </si>
  <si>
    <t>Île de France</t>
  </si>
  <si>
    <t>Nord Pas de Calais Picardie</t>
  </si>
  <si>
    <t>Pays de la Loire</t>
  </si>
  <si>
    <t>Languedoc Roussillon</t>
  </si>
  <si>
    <t>Provence Alpes Côte d'Azur</t>
  </si>
  <si>
    <t>Auvergne</t>
  </si>
  <si>
    <t>Nom des Shapes</t>
  </si>
  <si>
    <t>Nom régions</t>
  </si>
  <si>
    <t>Ville 1</t>
  </si>
  <si>
    <t>Ville 2</t>
  </si>
  <si>
    <t>Ville 3</t>
  </si>
  <si>
    <t>Faite votre choix…</t>
  </si>
  <si>
    <t>Aide au clic des villes</t>
  </si>
  <si>
    <r>
      <t xml:space="preserve">Ici est représenté le tableau des scores obtenus par chacune des villes selon </t>
    </r>
    <r>
      <rPr>
        <b/>
        <i/>
        <sz val="14"/>
        <color theme="1"/>
        <rFont val="Calibri"/>
        <family val="2"/>
        <scheme val="minor"/>
      </rPr>
      <t>VOS critères.</t>
    </r>
  </si>
  <si>
    <t>1er</t>
  </si>
  <si>
    <t>2ème</t>
  </si>
  <si>
    <t>3ème</t>
  </si>
  <si>
    <t>Faite votre choix...</t>
  </si>
  <si>
    <t>Hexagone 96</t>
  </si>
  <si>
    <r>
      <rPr>
        <b/>
        <sz val="11"/>
        <color theme="1"/>
        <rFont val="Calibri"/>
        <family val="2"/>
        <scheme val="minor"/>
      </rPr>
      <t>BONJOUR !</t>
    </r>
    <r>
      <rPr>
        <sz val="11"/>
        <color theme="1"/>
        <rFont val="Calibri"/>
        <family val="2"/>
        <scheme val="minor"/>
      </rPr>
      <t xml:space="preserve"> Envie de changer d'air, de connaître d'autres villes ? Voici un logiciel permettant de comparer les villes de France pour savoir lesquelles sont faites pour vous ! Vite ! </t>
    </r>
    <r>
      <rPr>
        <b/>
        <sz val="11"/>
        <color theme="1"/>
        <rFont val="Calibri"/>
        <family val="2"/>
        <scheme val="minor"/>
      </rPr>
      <t>CLIQUEZ !</t>
    </r>
  </si>
  <si>
    <t>ELKAIM</t>
  </si>
  <si>
    <t>Julien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</si>
</sst>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 * #,##0.00_)\ _€_ ;_ * \(#,##0.00\)\ _€_ ;_ * &quot;-&quot;??_)\ _€_ ;_ @_ "/>
  </numFmts>
  <fonts count="27" x14ac:knownFonts="1">
    <font>
      <sz val="11"/>
      <color theme="1"/>
      <name val="Calibri"/>
      <family val="2"/>
      <scheme val="minor"/>
    </font>
    <font>
      <sz val="11"/>
      <color rgb="FF7030A0"/>
      <name val="Calibri"/>
      <family val="2"/>
      <scheme val="minor"/>
    </font>
    <font>
      <b/>
      <sz val="11"/>
      <color theme="1"/>
      <name val="Calibri"/>
      <family val="2"/>
      <scheme val="minor"/>
    </font>
    <font>
      <b/>
      <i/>
      <sz val="11"/>
      <color theme="1"/>
      <name val="Calibri"/>
      <family val="2"/>
      <scheme val="minor"/>
    </font>
    <font>
      <sz val="10"/>
      <color rgb="FF000000"/>
      <name val="Verdana"/>
      <family val="2"/>
    </font>
    <font>
      <sz val="10"/>
      <name val="Arial"/>
      <family val="2"/>
    </font>
    <font>
      <sz val="11"/>
      <color theme="1"/>
      <name val="Calibri"/>
      <family val="2"/>
      <scheme val="minor"/>
    </font>
    <font>
      <u/>
      <sz val="11"/>
      <color theme="10"/>
      <name val="Calibri"/>
      <family val="2"/>
      <scheme val="minor"/>
    </font>
    <font>
      <u/>
      <sz val="11"/>
      <color theme="11"/>
      <name val="Calibri"/>
      <family val="2"/>
      <scheme val="minor"/>
    </font>
    <font>
      <b/>
      <sz val="14"/>
      <color theme="1"/>
      <name val="Calibri"/>
      <family val="2"/>
      <scheme val="minor"/>
    </font>
    <font>
      <sz val="16"/>
      <color theme="1"/>
      <name val="Calibri"/>
      <family val="2"/>
      <scheme val="minor"/>
    </font>
    <font>
      <sz val="11"/>
      <name val="Calibri"/>
      <family val="2"/>
      <scheme val="minor"/>
    </font>
    <font>
      <i/>
      <sz val="11"/>
      <color theme="1"/>
      <name val="Calibri"/>
      <family val="2"/>
      <scheme val="minor"/>
    </font>
    <font>
      <i/>
      <sz val="12"/>
      <color theme="1"/>
      <name val="Calibri"/>
      <family val="2"/>
      <scheme val="minor"/>
    </font>
    <font>
      <b/>
      <sz val="14"/>
      <name val="Calibri"/>
      <family val="2"/>
      <scheme val="minor"/>
    </font>
    <font>
      <sz val="11"/>
      <color rgb="FF000000"/>
      <name val="Calibri"/>
      <family val="2"/>
      <scheme val="minor"/>
    </font>
    <font>
      <sz val="11"/>
      <color rgb="FFC7B8B5"/>
      <name val="Calibri"/>
      <family val="2"/>
      <scheme val="minor"/>
    </font>
    <font>
      <b/>
      <sz val="11"/>
      <color rgb="FFC7B8B5"/>
      <name val="Calibri"/>
      <family val="2"/>
      <scheme val="minor"/>
    </font>
    <font>
      <b/>
      <i/>
      <sz val="11"/>
      <color rgb="FFC7B8B5"/>
      <name val="Calibri"/>
      <family val="2"/>
      <scheme val="minor"/>
    </font>
    <font>
      <b/>
      <sz val="16"/>
      <color theme="1"/>
      <name val="Calibri"/>
      <family val="2"/>
      <scheme val="minor"/>
    </font>
    <font>
      <i/>
      <sz val="14"/>
      <color theme="1"/>
      <name val="Calibri"/>
      <family val="2"/>
      <scheme val="minor"/>
    </font>
    <font>
      <b/>
      <i/>
      <sz val="14"/>
      <color theme="1"/>
      <name val="Calibri"/>
      <family val="2"/>
      <scheme val="minor"/>
    </font>
    <font>
      <sz val="14"/>
      <color theme="1"/>
      <name val="Calibri"/>
      <family val="2"/>
      <scheme val="minor"/>
    </font>
    <font>
      <b/>
      <sz val="11"/>
      <name val="Calibri"/>
      <family val="2"/>
      <scheme val="minor"/>
    </font>
    <font>
      <b/>
      <sz val="11"/>
      <color theme="0" tint="-0.34998626667073579"/>
      <name val="Calibri"/>
      <family val="2"/>
      <scheme val="minor"/>
    </font>
    <font>
      <sz val="11"/>
      <color theme="0" tint="-0.34998626667073579"/>
      <name val="Calibri"/>
      <family val="2"/>
      <scheme val="minor"/>
    </font>
    <font>
      <sz val="12"/>
      <color rgb="FF000000"/>
      <name val="Calibri"/>
      <family val="2"/>
    </font>
  </fonts>
  <fills count="18">
    <fill>
      <patternFill patternType="none"/>
    </fill>
    <fill>
      <patternFill patternType="gray125"/>
    </fill>
    <fill>
      <patternFill patternType="solid">
        <fgColor rgb="FFC7B8B5"/>
        <bgColor indexed="64"/>
      </patternFill>
    </fill>
    <fill>
      <patternFill patternType="solid">
        <fgColor theme="0" tint="-4.9989318521683403E-2"/>
        <bgColor indexed="64"/>
      </patternFill>
    </fill>
    <fill>
      <patternFill patternType="solid">
        <fgColor theme="0"/>
        <bgColor indexed="64"/>
      </patternFill>
    </fill>
    <fill>
      <patternFill patternType="solid">
        <fgColor rgb="FF008000"/>
        <bgColor indexed="64"/>
      </patternFill>
    </fill>
    <fill>
      <patternFill patternType="solid">
        <fgColor rgb="FF3366FF"/>
        <bgColor indexed="64"/>
      </patternFill>
    </fill>
    <fill>
      <patternFill patternType="solid">
        <fgColor rgb="FF800000"/>
        <bgColor indexed="64"/>
      </patternFill>
    </fill>
    <fill>
      <patternFill patternType="solid">
        <fgColor rgb="FF66F60C"/>
        <bgColor indexed="64"/>
      </patternFill>
    </fill>
    <fill>
      <patternFill patternType="solid">
        <fgColor rgb="FFFF660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6" tint="-0.249977111117893"/>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6" tint="0.39997558519241921"/>
        <bgColor indexed="64"/>
      </patternFill>
    </fill>
  </fills>
  <borders count="51">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bottom style="thin">
        <color auto="1"/>
      </bottom>
      <diagonal/>
    </border>
    <border>
      <left style="thin">
        <color auto="1"/>
      </left>
      <right/>
      <top/>
      <bottom style="thin">
        <color auto="1"/>
      </bottom>
      <diagonal/>
    </border>
    <border>
      <left style="medium">
        <color auto="1"/>
      </left>
      <right style="medium">
        <color auto="1"/>
      </right>
      <top/>
      <bottom style="thin">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bottom style="thin">
        <color auto="1"/>
      </bottom>
      <diagonal/>
    </border>
    <border>
      <left style="medium">
        <color auto="1"/>
      </left>
      <right style="thin">
        <color auto="1"/>
      </right>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style="medium">
        <color auto="1"/>
      </left>
      <right/>
      <top style="medium">
        <color auto="1"/>
      </top>
      <bottom style="thin">
        <color auto="1"/>
      </bottom>
      <diagonal/>
    </border>
    <border>
      <left/>
      <right style="medium">
        <color auto="1"/>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top style="medium">
        <color auto="1"/>
      </top>
      <bottom/>
      <diagonal/>
    </border>
    <border>
      <left/>
      <right/>
      <top/>
      <bottom style="medium">
        <color auto="1"/>
      </bottom>
      <diagonal/>
    </border>
    <border>
      <left style="medium">
        <color auto="1"/>
      </left>
      <right/>
      <top style="medium">
        <color auto="1"/>
      </top>
      <bottom style="medium">
        <color auto="1"/>
      </bottom>
      <diagonal/>
    </border>
    <border>
      <left/>
      <right style="medium">
        <color auto="1"/>
      </right>
      <top/>
      <bottom/>
      <diagonal/>
    </border>
    <border>
      <left/>
      <right/>
      <top style="medium">
        <color auto="1"/>
      </top>
      <bottom style="thin">
        <color auto="1"/>
      </bottom>
      <diagonal/>
    </border>
    <border>
      <left style="thin">
        <color auto="1"/>
      </left>
      <right style="thin">
        <color auto="1"/>
      </right>
      <top style="thin">
        <color auto="1"/>
      </top>
      <bottom/>
      <diagonal/>
    </border>
    <border>
      <left style="medium">
        <color auto="1"/>
      </left>
      <right style="medium">
        <color auto="1"/>
      </right>
      <top style="medium">
        <color auto="1"/>
      </top>
      <bottom/>
      <diagonal/>
    </border>
    <border>
      <left/>
      <right/>
      <top/>
      <bottom style="thin">
        <color auto="1"/>
      </bottom>
      <diagonal/>
    </border>
  </borders>
  <cellStyleXfs count="49">
    <xf numFmtId="0" fontId="0" fillId="0" borderId="0"/>
    <xf numFmtId="0" fontId="5"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6"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35">
    <xf numFmtId="0" fontId="0" fillId="0" borderId="0" xfId="0"/>
    <xf numFmtId="0" fontId="0" fillId="2" borderId="0" xfId="0" applyFill="1"/>
    <xf numFmtId="0" fontId="0" fillId="0" borderId="5" xfId="0" applyBorder="1"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0" xfId="0" applyFont="1" applyBorder="1" applyAlignment="1">
      <alignment horizontal="center" vertical="center"/>
    </xf>
    <xf numFmtId="0" fontId="3" fillId="0" borderId="0" xfId="0" applyFont="1"/>
    <xf numFmtId="0" fontId="2" fillId="4" borderId="0" xfId="0" applyFont="1" applyFill="1" applyAlignment="1">
      <alignment vertical="center"/>
    </xf>
    <xf numFmtId="0" fontId="2" fillId="2" borderId="0" xfId="0" applyFont="1" applyFill="1"/>
    <xf numFmtId="0" fontId="3" fillId="2" borderId="0" xfId="0" applyFont="1" applyFill="1"/>
    <xf numFmtId="0" fontId="0" fillId="0" borderId="5" xfId="0" applyFill="1" applyBorder="1" applyAlignment="1">
      <alignment horizontal="center" vertical="center"/>
    </xf>
    <xf numFmtId="0" fontId="0" fillId="0" borderId="6" xfId="0" applyFill="1" applyBorder="1" applyAlignment="1">
      <alignment horizontal="center" vertical="center"/>
    </xf>
    <xf numFmtId="0" fontId="0" fillId="0" borderId="9" xfId="0" applyFill="1" applyBorder="1" applyAlignment="1">
      <alignment horizontal="center" vertical="center"/>
    </xf>
    <xf numFmtId="0" fontId="0" fillId="0" borderId="7" xfId="0" applyFill="1" applyBorder="1" applyAlignment="1">
      <alignment horizontal="center" vertical="center"/>
    </xf>
    <xf numFmtId="0" fontId="0" fillId="0" borderId="0" xfId="0" applyNumberFormat="1" applyBorder="1" applyAlignment="1">
      <alignment horizontal="center" vertical="center"/>
    </xf>
    <xf numFmtId="0" fontId="0" fillId="2" borderId="0" xfId="0" applyFill="1" applyAlignment="1">
      <alignment horizontal="center" vertical="center"/>
    </xf>
    <xf numFmtId="0" fontId="0" fillId="0" borderId="0" xfId="0" applyFill="1"/>
    <xf numFmtId="0" fontId="0" fillId="2" borderId="5" xfId="0" applyFill="1" applyBorder="1"/>
    <xf numFmtId="0" fontId="0" fillId="2" borderId="7" xfId="0" applyFill="1" applyBorder="1"/>
    <xf numFmtId="0" fontId="2" fillId="5" borderId="0" xfId="0" applyFont="1" applyFill="1" applyAlignment="1">
      <alignment horizontal="center" vertical="center"/>
    </xf>
    <xf numFmtId="0" fontId="2" fillId="9" borderId="0" xfId="0" applyFont="1" applyFill="1" applyAlignment="1">
      <alignment horizontal="center" vertical="center"/>
    </xf>
    <xf numFmtId="0" fontId="0" fillId="11" borderId="1" xfId="0" applyFill="1" applyBorder="1"/>
    <xf numFmtId="0" fontId="0" fillId="11" borderId="32" xfId="0" applyFill="1" applyBorder="1"/>
    <xf numFmtId="0" fontId="0" fillId="11" borderId="33" xfId="0" applyFill="1" applyBorder="1"/>
    <xf numFmtId="0" fontId="0" fillId="11" borderId="34" xfId="0" applyFill="1" applyBorder="1"/>
    <xf numFmtId="0" fontId="0" fillId="11" borderId="35" xfId="0" applyFill="1" applyBorder="1"/>
    <xf numFmtId="0" fontId="0" fillId="11" borderId="36" xfId="0" applyFill="1" applyBorder="1"/>
    <xf numFmtId="0" fontId="0" fillId="11" borderId="37" xfId="0" applyFill="1" applyBorder="1"/>
    <xf numFmtId="0" fontId="0" fillId="11" borderId="10" xfId="0" applyFill="1" applyBorder="1"/>
    <xf numFmtId="0" fontId="9" fillId="12" borderId="26" xfId="0" applyFont="1" applyFill="1" applyBorder="1" applyAlignment="1">
      <alignment horizontal="center" vertical="center"/>
    </xf>
    <xf numFmtId="0" fontId="9" fillId="12" borderId="12" xfId="0" applyFont="1" applyFill="1" applyBorder="1" applyAlignment="1">
      <alignment horizontal="center" vertical="center"/>
    </xf>
    <xf numFmtId="0" fontId="9" fillId="12" borderId="13" xfId="0" applyFont="1" applyFill="1" applyBorder="1" applyAlignment="1">
      <alignment horizontal="center" vertical="center"/>
    </xf>
    <xf numFmtId="0" fontId="11" fillId="11" borderId="10" xfId="0" applyFont="1" applyFill="1" applyBorder="1"/>
    <xf numFmtId="0" fontId="11" fillId="11" borderId="1" xfId="0" applyFont="1" applyFill="1" applyBorder="1"/>
    <xf numFmtId="0" fontId="2" fillId="12" borderId="2" xfId="0" applyFont="1" applyFill="1" applyBorder="1" applyAlignment="1">
      <alignment horizontal="center"/>
    </xf>
    <xf numFmtId="0" fontId="2" fillId="12" borderId="2" xfId="0" applyFont="1" applyFill="1" applyBorder="1" applyAlignment="1">
      <alignment horizontal="center" vertical="center"/>
    </xf>
    <xf numFmtId="0" fontId="2" fillId="12" borderId="23" xfId="0" applyFont="1" applyFill="1" applyBorder="1" applyAlignment="1">
      <alignment horizontal="center" vertical="center"/>
    </xf>
    <xf numFmtId="0" fontId="2" fillId="12" borderId="21" xfId="0" applyFont="1" applyFill="1" applyBorder="1" applyAlignment="1">
      <alignment horizontal="center" vertical="center"/>
    </xf>
    <xf numFmtId="0" fontId="2" fillId="12" borderId="12"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13" xfId="0" applyFont="1" applyFill="1" applyBorder="1" applyAlignment="1">
      <alignment horizontal="center" vertical="center"/>
    </xf>
    <xf numFmtId="0" fontId="2" fillId="11" borderId="25" xfId="0" applyFont="1" applyFill="1" applyBorder="1" applyAlignment="1">
      <alignment horizontal="center" vertical="center"/>
    </xf>
    <xf numFmtId="0" fontId="0" fillId="11" borderId="10" xfId="0" applyNumberFormat="1" applyFill="1" applyBorder="1"/>
    <xf numFmtId="0" fontId="0" fillId="11" borderId="10" xfId="0" applyNumberFormat="1" applyFill="1" applyBorder="1" applyAlignment="1">
      <alignment horizontal="center" vertical="center"/>
    </xf>
    <xf numFmtId="0" fontId="2" fillId="11" borderId="11" xfId="0" applyFont="1" applyFill="1" applyBorder="1" applyAlignment="1">
      <alignment horizontal="center" vertical="center"/>
    </xf>
    <xf numFmtId="0" fontId="2" fillId="11" borderId="5" xfId="0" applyFont="1" applyFill="1" applyBorder="1" applyAlignment="1">
      <alignment horizontal="center" vertical="center"/>
    </xf>
    <xf numFmtId="0" fontId="0" fillId="11" borderId="1" xfId="0" applyNumberFormat="1" applyFill="1" applyBorder="1"/>
    <xf numFmtId="0" fontId="2" fillId="11" borderId="7" xfId="0" applyFont="1" applyFill="1" applyBorder="1" applyAlignment="1">
      <alignment horizontal="center" vertical="center"/>
    </xf>
    <xf numFmtId="0" fontId="0" fillId="11" borderId="8" xfId="0" applyFill="1" applyBorder="1"/>
    <xf numFmtId="0" fontId="0" fillId="11" borderId="8" xfId="0" applyNumberFormat="1" applyFill="1" applyBorder="1"/>
    <xf numFmtId="0" fontId="0" fillId="11" borderId="18" xfId="0" applyNumberFormat="1" applyFill="1" applyBorder="1" applyAlignment="1">
      <alignment horizontal="center" vertical="center"/>
    </xf>
    <xf numFmtId="0" fontId="0" fillId="11" borderId="19" xfId="0" applyNumberFormat="1" applyFill="1" applyBorder="1" applyAlignment="1">
      <alignment horizontal="center" vertical="center"/>
    </xf>
    <xf numFmtId="0" fontId="0" fillId="11" borderId="28" xfId="0" applyNumberFormat="1" applyFill="1" applyBorder="1" applyAlignment="1">
      <alignment horizontal="center" vertical="center"/>
    </xf>
    <xf numFmtId="0" fontId="0" fillId="11" borderId="27" xfId="0" applyNumberFormat="1" applyFill="1" applyBorder="1" applyAlignment="1">
      <alignment horizontal="center" vertical="center"/>
    </xf>
    <xf numFmtId="0" fontId="0" fillId="11" borderId="29" xfId="0" applyNumberFormat="1" applyFill="1" applyBorder="1" applyAlignment="1">
      <alignment horizontal="center" vertical="center"/>
    </xf>
    <xf numFmtId="0" fontId="0" fillId="13" borderId="20" xfId="0" applyNumberFormat="1" applyFill="1" applyBorder="1" applyAlignment="1">
      <alignment horizontal="center" vertical="center"/>
    </xf>
    <xf numFmtId="0" fontId="0" fillId="13" borderId="24" xfId="0" applyNumberFormat="1" applyFill="1" applyBorder="1" applyAlignment="1">
      <alignment horizontal="center" vertical="center"/>
    </xf>
    <xf numFmtId="0" fontId="0" fillId="13" borderId="16" xfId="0" applyNumberFormat="1" applyFill="1" applyBorder="1" applyAlignment="1">
      <alignment horizontal="center" vertical="center"/>
    </xf>
    <xf numFmtId="0" fontId="0" fillId="13" borderId="14" xfId="0" applyNumberFormat="1" applyFill="1" applyBorder="1" applyAlignment="1">
      <alignment horizontal="center" vertical="center"/>
    </xf>
    <xf numFmtId="0" fontId="0" fillId="13" borderId="17" xfId="0" applyNumberFormat="1" applyFill="1" applyBorder="1" applyAlignment="1">
      <alignment horizontal="center" vertical="center"/>
    </xf>
    <xf numFmtId="0" fontId="0" fillId="13" borderId="15" xfId="0" applyNumberFormat="1" applyFill="1" applyBorder="1" applyAlignment="1">
      <alignment horizontal="center" vertical="center"/>
    </xf>
    <xf numFmtId="0" fontId="0" fillId="2" borderId="0" xfId="0" applyFill="1" applyBorder="1"/>
    <xf numFmtId="0" fontId="0" fillId="2" borderId="46" xfId="0" applyFill="1" applyBorder="1"/>
    <xf numFmtId="0" fontId="0" fillId="2" borderId="44" xfId="0" applyFill="1" applyBorder="1"/>
    <xf numFmtId="0" fontId="0" fillId="2" borderId="41" xfId="0" applyFill="1" applyBorder="1"/>
    <xf numFmtId="0" fontId="0" fillId="0" borderId="0" xfId="0" applyFill="1" applyBorder="1"/>
    <xf numFmtId="0" fontId="0" fillId="0" borderId="0" xfId="0" applyFont="1" applyFill="1" applyBorder="1" applyAlignment="1">
      <alignment vertical="center"/>
    </xf>
    <xf numFmtId="0" fontId="0" fillId="0" borderId="0" xfId="0" applyFill="1" applyBorder="1" applyAlignment="1">
      <alignment horizontal="center"/>
    </xf>
    <xf numFmtId="0" fontId="0" fillId="0" borderId="0" xfId="0" applyFill="1" applyBorder="1" applyAlignment="1">
      <alignment horizontal="center" vertical="center"/>
    </xf>
    <xf numFmtId="0" fontId="2" fillId="0" borderId="0" xfId="0" applyFont="1" applyFill="1" applyBorder="1" applyAlignment="1">
      <alignment horizontal="center" vertical="center"/>
    </xf>
    <xf numFmtId="0" fontId="4" fillId="0" borderId="0" xfId="0" applyFont="1" applyFill="1" applyBorder="1" applyAlignment="1">
      <alignment horizontal="left" vertical="center" readingOrder="1"/>
    </xf>
    <xf numFmtId="0" fontId="2" fillId="10" borderId="1" xfId="0" applyFont="1" applyFill="1" applyBorder="1" applyAlignment="1">
      <alignment horizontal="center" vertical="center"/>
    </xf>
    <xf numFmtId="0" fontId="0" fillId="11" borderId="0" xfId="0" applyFont="1" applyFill="1" applyBorder="1" applyAlignment="1">
      <alignment horizontal="center" vertical="center"/>
    </xf>
    <xf numFmtId="0" fontId="0" fillId="11" borderId="0" xfId="0" applyFont="1" applyFill="1" applyBorder="1" applyAlignment="1">
      <alignment horizontal="center"/>
    </xf>
    <xf numFmtId="0" fontId="0" fillId="6" borderId="1" xfId="0" applyFill="1" applyBorder="1"/>
    <xf numFmtId="0" fontId="0" fillId="8" borderId="1" xfId="0" applyFill="1" applyBorder="1"/>
    <xf numFmtId="0" fontId="1" fillId="5" borderId="48" xfId="0" applyFont="1" applyFill="1" applyBorder="1"/>
    <xf numFmtId="0" fontId="0" fillId="7" borderId="10" xfId="0" applyFill="1" applyBorder="1"/>
    <xf numFmtId="0" fontId="0" fillId="0" borderId="49" xfId="0" applyBorder="1"/>
    <xf numFmtId="0" fontId="0" fillId="0" borderId="2" xfId="0" applyBorder="1"/>
    <xf numFmtId="0" fontId="0" fillId="15" borderId="0" xfId="0" applyFill="1"/>
    <xf numFmtId="0" fontId="16" fillId="2" borderId="0" xfId="0" applyFont="1" applyFill="1"/>
    <xf numFmtId="0" fontId="17" fillId="2" borderId="0" xfId="0" applyFont="1" applyFill="1"/>
    <xf numFmtId="0" fontId="18" fillId="2" borderId="0" xfId="0" applyFont="1" applyFill="1"/>
    <xf numFmtId="0" fontId="19" fillId="2" borderId="0" xfId="0" applyFont="1" applyFill="1"/>
    <xf numFmtId="0" fontId="10" fillId="2" borderId="0" xfId="0" applyFont="1" applyFill="1"/>
    <xf numFmtId="0" fontId="22" fillId="5" borderId="0" xfId="0" applyFont="1" applyFill="1" applyAlignment="1">
      <alignment horizontal="center" vertical="center"/>
    </xf>
    <xf numFmtId="0" fontId="9" fillId="5" borderId="0" xfId="0" applyFont="1" applyFill="1" applyAlignment="1">
      <alignment horizontal="center"/>
    </xf>
    <xf numFmtId="0" fontId="11" fillId="2" borderId="0" xfId="0" applyFont="1" applyFill="1" applyAlignment="1">
      <alignment horizontal="center" vertical="center"/>
    </xf>
    <xf numFmtId="0" fontId="9" fillId="12" borderId="0" xfId="0" applyFont="1" applyFill="1" applyAlignment="1">
      <alignment horizontal="center" vertical="center"/>
    </xf>
    <xf numFmtId="0" fontId="0" fillId="2" borderId="1" xfId="0" applyFill="1" applyBorder="1"/>
    <xf numFmtId="0" fontId="15" fillId="2" borderId="1" xfId="0" applyFont="1" applyFill="1" applyBorder="1" applyAlignment="1">
      <alignment horizontal="center"/>
    </xf>
    <xf numFmtId="164" fontId="15" fillId="2" borderId="1" xfId="6" applyFont="1" applyFill="1" applyBorder="1" applyAlignment="1">
      <alignment horizontal="center"/>
    </xf>
    <xf numFmtId="0" fontId="23" fillId="2" borderId="0" xfId="0" applyFont="1" applyFill="1"/>
    <xf numFmtId="0" fontId="24" fillId="17" borderId="1" xfId="0" applyFont="1" applyFill="1" applyBorder="1" applyAlignment="1">
      <alignment horizontal="center" vertical="center"/>
    </xf>
    <xf numFmtId="0" fontId="24" fillId="16" borderId="1" xfId="0" applyFont="1" applyFill="1" applyBorder="1" applyAlignment="1">
      <alignment horizontal="center" vertical="center"/>
    </xf>
    <xf numFmtId="0" fontId="24" fillId="17" borderId="35" xfId="0" applyFont="1" applyFill="1" applyBorder="1" applyAlignment="1">
      <alignment horizontal="center" vertical="center"/>
    </xf>
    <xf numFmtId="0" fontId="25" fillId="16" borderId="35" xfId="0" applyFont="1" applyFill="1" applyBorder="1"/>
    <xf numFmtId="0" fontId="2" fillId="11" borderId="20" xfId="0" applyFont="1" applyFill="1" applyBorder="1" applyAlignment="1">
      <alignment horizontal="center" vertical="center"/>
    </xf>
    <xf numFmtId="0" fontId="2" fillId="11" borderId="16" xfId="0" applyFont="1" applyFill="1" applyBorder="1" applyAlignment="1">
      <alignment horizontal="center" vertical="center"/>
    </xf>
    <xf numFmtId="0" fontId="2" fillId="11" borderId="17" xfId="0" applyFont="1" applyFill="1" applyBorder="1" applyAlignment="1">
      <alignment horizontal="center" vertical="center"/>
    </xf>
    <xf numFmtId="0" fontId="9" fillId="2" borderId="35" xfId="0" applyFont="1" applyFill="1" applyBorder="1" applyAlignment="1">
      <alignment horizontal="right" vertical="center"/>
    </xf>
    <xf numFmtId="0" fontId="9" fillId="2" borderId="34" xfId="0" applyFont="1" applyFill="1" applyBorder="1" applyAlignment="1">
      <alignment horizontal="left"/>
    </xf>
    <xf numFmtId="0" fontId="0" fillId="15" borderId="0" xfId="0" applyFill="1" applyAlignment="1">
      <alignment horizontal="center" vertical="center" wrapText="1"/>
    </xf>
    <xf numFmtId="0" fontId="2" fillId="2" borderId="50" xfId="0" applyFont="1" applyFill="1" applyBorder="1" applyAlignment="1">
      <alignment horizontal="center"/>
    </xf>
    <xf numFmtId="0" fontId="9" fillId="7" borderId="45" xfId="0" applyFont="1" applyFill="1" applyBorder="1" applyAlignment="1">
      <alignment horizontal="center" vertical="center"/>
    </xf>
    <xf numFmtId="0" fontId="9" fillId="7" borderId="23" xfId="0" applyFont="1" applyFill="1" applyBorder="1" applyAlignment="1">
      <alignment horizontal="center" vertical="center"/>
    </xf>
    <xf numFmtId="0" fontId="10" fillId="5" borderId="38" xfId="0" applyFont="1" applyFill="1" applyBorder="1" applyAlignment="1">
      <alignment horizontal="center" vertical="center"/>
    </xf>
    <xf numFmtId="0" fontId="10" fillId="5" borderId="43" xfId="0" applyFont="1" applyFill="1" applyBorder="1" applyAlignment="1">
      <alignment horizontal="center" vertical="center"/>
    </xf>
    <xf numFmtId="0" fontId="10" fillId="5" borderId="39" xfId="0" applyFont="1" applyFill="1" applyBorder="1" applyAlignment="1">
      <alignment horizontal="center" vertical="center"/>
    </xf>
    <xf numFmtId="0" fontId="10" fillId="5" borderId="40" xfId="0" applyFont="1" applyFill="1" applyBorder="1" applyAlignment="1">
      <alignment horizontal="center" vertical="center"/>
    </xf>
    <xf numFmtId="0" fontId="10" fillId="5" borderId="44" xfId="0" applyFont="1" applyFill="1" applyBorder="1" applyAlignment="1">
      <alignment horizontal="center" vertical="center"/>
    </xf>
    <xf numFmtId="0" fontId="10" fillId="5" borderId="41" xfId="0" applyFont="1" applyFill="1" applyBorder="1" applyAlignment="1">
      <alignment horizontal="center" vertical="center"/>
    </xf>
    <xf numFmtId="0" fontId="13" fillId="2" borderId="38" xfId="0" applyFont="1" applyFill="1" applyBorder="1" applyAlignment="1">
      <alignment horizontal="center" vertical="center" wrapText="1"/>
    </xf>
    <xf numFmtId="0" fontId="13" fillId="2" borderId="43" xfId="0" applyFont="1" applyFill="1" applyBorder="1" applyAlignment="1">
      <alignment horizontal="center" vertical="center" wrapText="1"/>
    </xf>
    <xf numFmtId="0" fontId="13" fillId="2" borderId="39" xfId="0" applyFont="1" applyFill="1" applyBorder="1" applyAlignment="1">
      <alignment horizontal="center" vertical="center" wrapText="1"/>
    </xf>
    <xf numFmtId="0" fontId="13" fillId="2" borderId="42" xfId="0" applyFont="1" applyFill="1" applyBorder="1" applyAlignment="1">
      <alignment horizontal="center" vertical="center" wrapText="1"/>
    </xf>
    <xf numFmtId="0" fontId="13" fillId="2" borderId="0" xfId="0" applyFont="1" applyFill="1" applyBorder="1" applyAlignment="1">
      <alignment horizontal="center" vertical="center" wrapText="1"/>
    </xf>
    <xf numFmtId="0" fontId="13" fillId="2" borderId="46" xfId="0" applyFont="1" applyFill="1" applyBorder="1" applyAlignment="1">
      <alignment horizontal="center" vertical="center" wrapText="1"/>
    </xf>
    <xf numFmtId="0" fontId="12" fillId="2" borderId="30" xfId="0" applyFont="1" applyFill="1" applyBorder="1" applyAlignment="1">
      <alignment horizontal="center" vertical="center"/>
    </xf>
    <xf numFmtId="0" fontId="12" fillId="2" borderId="47" xfId="0" applyFont="1" applyFill="1" applyBorder="1" applyAlignment="1">
      <alignment horizontal="center" vertical="center"/>
    </xf>
    <xf numFmtId="0" fontId="12" fillId="2" borderId="31" xfId="0" applyFont="1" applyFill="1" applyBorder="1" applyAlignment="1">
      <alignment horizontal="center" vertical="center"/>
    </xf>
    <xf numFmtId="0" fontId="14" fillId="8" borderId="1" xfId="0" applyFont="1" applyFill="1" applyBorder="1" applyAlignment="1">
      <alignment horizontal="center" vertical="center"/>
    </xf>
    <xf numFmtId="0" fontId="12" fillId="2" borderId="1" xfId="0" applyFont="1" applyFill="1" applyBorder="1" applyAlignment="1">
      <alignment horizontal="center"/>
    </xf>
    <xf numFmtId="0" fontId="2" fillId="14" borderId="0" xfId="0" applyFont="1" applyFill="1" applyBorder="1" applyAlignment="1">
      <alignment horizontal="center" vertical="center"/>
    </xf>
    <xf numFmtId="0" fontId="0" fillId="12" borderId="38" xfId="0" applyFill="1" applyBorder="1" applyAlignment="1">
      <alignment horizontal="center" vertical="center"/>
    </xf>
    <xf numFmtId="0" fontId="0" fillId="12" borderId="39" xfId="0" applyFill="1" applyBorder="1" applyAlignment="1">
      <alignment horizontal="center" vertical="center"/>
    </xf>
    <xf numFmtId="0" fontId="0" fillId="12" borderId="42" xfId="0" applyFill="1" applyBorder="1" applyAlignment="1">
      <alignment horizontal="center" vertical="center"/>
    </xf>
    <xf numFmtId="0" fontId="0" fillId="12" borderId="46" xfId="0" applyFill="1" applyBorder="1" applyAlignment="1">
      <alignment horizontal="center" vertical="center"/>
    </xf>
    <xf numFmtId="0" fontId="2" fillId="3" borderId="0" xfId="0" applyFont="1" applyFill="1" applyAlignment="1">
      <alignment horizontal="center" vertical="center"/>
    </xf>
    <xf numFmtId="0" fontId="9" fillId="3" borderId="0" xfId="0" applyFont="1" applyFill="1" applyAlignment="1">
      <alignment horizontal="center" vertical="center"/>
    </xf>
    <xf numFmtId="0" fontId="20" fillId="2" borderId="0" xfId="0" applyFont="1" applyFill="1" applyAlignment="1">
      <alignment horizontal="center" vertical="center"/>
    </xf>
  </cellXfs>
  <cellStyles count="49">
    <cellStyle name="Comma" xfId="6" builtinId="3"/>
    <cellStyle name="Followed Hyperlink" xfId="3" builtinId="9" hidden="1"/>
    <cellStyle name="Followed Hyperlink" xfId="5"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Hyperlink" xfId="2" builtinId="8" hidden="1"/>
    <cellStyle name="Hyperlink" xfId="4"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Normal" xfId="0" builtinId="0"/>
    <cellStyle name="Normal 4" xfId="1" xr:uid="{00000000-0005-0000-0000-000030000000}"/>
  </cellStyles>
  <dxfs count="12">
    <dxf>
      <font>
        <color rgb="FFC7B8B5"/>
      </font>
      <fill>
        <patternFill patternType="solid">
          <fgColor indexed="64"/>
          <bgColor rgb="FFC7B8B5"/>
        </patternFill>
      </fill>
    </dxf>
    <dxf>
      <font>
        <color rgb="FFC7B8B5"/>
      </font>
      <fill>
        <patternFill patternType="solid">
          <fgColor indexed="64"/>
          <bgColor rgb="FFC7B8B5"/>
        </patternFill>
      </fill>
    </dxf>
    <dxf>
      <font>
        <color rgb="FFC7B8B5"/>
      </font>
      <fill>
        <patternFill patternType="solid">
          <fgColor indexed="64"/>
          <bgColor rgb="FFC7B8B5"/>
        </patternFill>
      </fill>
      <border>
        <left/>
        <right/>
        <top/>
        <bottom/>
      </border>
    </dxf>
    <dxf>
      <font>
        <color rgb="FFC7B8B5"/>
      </font>
      <fill>
        <patternFill patternType="solid">
          <fgColor indexed="64"/>
          <bgColor rgb="FFC7B8B5"/>
        </patternFill>
      </fill>
      <border>
        <left/>
        <right/>
        <top/>
        <bottom/>
      </border>
    </dxf>
    <dxf>
      <font>
        <color rgb="FFC7B8B5"/>
      </font>
      <fill>
        <patternFill patternType="solid">
          <fgColor indexed="64"/>
          <bgColor rgb="FFC7B8B5"/>
        </patternFill>
      </fill>
      <border>
        <left/>
        <right/>
        <top/>
        <bottom/>
      </border>
    </dxf>
    <dxf>
      <font>
        <color rgb="FFC7B8B5"/>
      </font>
      <fill>
        <patternFill patternType="solid">
          <fgColor indexed="64"/>
          <bgColor rgb="FFC7B8B5"/>
        </patternFill>
      </fill>
    </dxf>
    <dxf>
      <font>
        <color rgb="FFC7B8B5"/>
      </font>
      <fill>
        <patternFill patternType="solid">
          <fgColor indexed="64"/>
          <bgColor rgb="FFC7B8B5"/>
        </patternFill>
      </fill>
      <border>
        <left/>
        <right/>
        <top/>
        <bottom/>
      </border>
    </dxf>
    <dxf>
      <font>
        <color rgb="FFC7B8B5"/>
      </font>
      <fill>
        <patternFill patternType="solid">
          <fgColor indexed="64"/>
          <bgColor rgb="FFC7B8B5"/>
        </patternFill>
      </fill>
      <border>
        <left/>
        <right/>
        <top/>
        <bottom/>
      </border>
    </dxf>
    <dxf>
      <font>
        <color rgb="FFC7B8B5"/>
      </font>
      <fill>
        <patternFill patternType="solid">
          <fgColor indexed="64"/>
          <bgColor rgb="FFC7B8B5"/>
        </patternFill>
      </fill>
      <border>
        <left/>
        <right/>
        <top/>
        <bottom/>
      </border>
    </dxf>
    <dxf>
      <font>
        <color rgb="FFC7B8B5"/>
      </font>
      <fill>
        <patternFill patternType="solid">
          <fgColor indexed="64"/>
          <bgColor rgb="FFC7B8B5"/>
        </patternFill>
      </fill>
      <border>
        <left/>
        <right/>
        <top/>
        <bottom/>
      </border>
    </dxf>
    <dxf>
      <font>
        <color rgb="FFC7B8B5"/>
      </font>
      <fill>
        <patternFill patternType="solid">
          <fgColor indexed="64"/>
          <bgColor rgb="FFC7B8B5"/>
        </patternFill>
      </fill>
      <border>
        <left/>
        <right/>
        <top/>
        <bottom/>
      </border>
    </dxf>
    <dxf>
      <font>
        <color rgb="FFC7B8B5"/>
      </font>
      <fill>
        <patternFill patternType="solid">
          <fgColor indexed="64"/>
          <bgColor rgb="FFC7B8B5"/>
        </patternFill>
      </fill>
    </dxf>
  </dxfs>
  <tableStyles count="0" defaultTableStyle="TableStyleMedium2" defaultPivotStyle="PivotStyleLight16"/>
  <colors>
    <mruColors>
      <color rgb="FFC7B8B5"/>
      <color rgb="FFA18783"/>
      <color rgb="FFF58220"/>
      <color rgb="FFF715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24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defRPr>
            </a:pPr>
            <a:r>
              <a:rPr lang="fr-FR" sz="24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TABLEAU</a:t>
            </a:r>
            <a:r>
              <a:rPr lang="fr-FR" sz="2400" b="1" cap="none" spc="0" baseline="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 DES SCORES</a:t>
            </a:r>
          </a:p>
        </c:rich>
      </c:tx>
      <c:overlay val="0"/>
    </c:title>
    <c:autoTitleDeleted val="0"/>
    <c:plotArea>
      <c:layout/>
      <c:barChart>
        <c:barDir val="col"/>
        <c:grouping val="clustered"/>
        <c:varyColors val="0"/>
        <c:ser>
          <c:idx val="0"/>
          <c:order val="0"/>
          <c:tx>
            <c:strRef>
              <c:f>Criteres!$U$49</c:f>
              <c:strCache>
                <c:ptCount val="1"/>
                <c:pt idx="0">
                  <c:v>Total PP</c:v>
                </c:pt>
              </c:strCache>
            </c:strRef>
          </c:tx>
          <c:invertIfNegative val="0"/>
          <c:cat>
            <c:strRef>
              <c:f>Criteres!$C$50:$C$88</c:f>
              <c:strCache>
                <c:ptCount val="39"/>
                <c:pt idx="0">
                  <c:v>Lille</c:v>
                </c:pt>
                <c:pt idx="1">
                  <c:v>Dunkerque</c:v>
                </c:pt>
                <c:pt idx="2">
                  <c:v>Calais</c:v>
                </c:pt>
                <c:pt idx="3">
                  <c:v>Cherbourg</c:v>
                </c:pt>
                <c:pt idx="4">
                  <c:v>Le Havre</c:v>
                </c:pt>
                <c:pt idx="5">
                  <c:v>Caen</c:v>
                </c:pt>
                <c:pt idx="6">
                  <c:v>Strasbourg</c:v>
                </c:pt>
                <c:pt idx="7">
                  <c:v>Metz</c:v>
                </c:pt>
                <c:pt idx="8">
                  <c:v>Nancy</c:v>
                </c:pt>
                <c:pt idx="9">
                  <c:v>Paris</c:v>
                </c:pt>
                <c:pt idx="10">
                  <c:v>Meaux</c:v>
                </c:pt>
                <c:pt idx="11">
                  <c:v>Melun</c:v>
                </c:pt>
                <c:pt idx="12">
                  <c:v>Brest</c:v>
                </c:pt>
                <c:pt idx="13">
                  <c:v>Quimper</c:v>
                </c:pt>
                <c:pt idx="14">
                  <c:v>Rennes</c:v>
                </c:pt>
                <c:pt idx="15">
                  <c:v>Nantes</c:v>
                </c:pt>
                <c:pt idx="16">
                  <c:v>Angers</c:v>
                </c:pt>
                <c:pt idx="17">
                  <c:v>Le Mans</c:v>
                </c:pt>
                <c:pt idx="18">
                  <c:v>Orléans</c:v>
                </c:pt>
                <c:pt idx="19">
                  <c:v>Tours</c:v>
                </c:pt>
                <c:pt idx="20">
                  <c:v>Blois</c:v>
                </c:pt>
                <c:pt idx="21">
                  <c:v>Besançon</c:v>
                </c:pt>
                <c:pt idx="22">
                  <c:v>Châlon-sur-Saône</c:v>
                </c:pt>
                <c:pt idx="23">
                  <c:v>Montbéliard</c:v>
                </c:pt>
                <c:pt idx="24">
                  <c:v>Bordeaux</c:v>
                </c:pt>
                <c:pt idx="25">
                  <c:v>Pau</c:v>
                </c:pt>
                <c:pt idx="26">
                  <c:v>Bayonne</c:v>
                </c:pt>
                <c:pt idx="27">
                  <c:v>Chambéry</c:v>
                </c:pt>
                <c:pt idx="28">
                  <c:v>Grenoble</c:v>
                </c:pt>
                <c:pt idx="29">
                  <c:v>Lyon</c:v>
                </c:pt>
                <c:pt idx="30">
                  <c:v>Perpignan</c:v>
                </c:pt>
                <c:pt idx="31">
                  <c:v>Montpellier</c:v>
                </c:pt>
                <c:pt idx="32">
                  <c:v>Carcassone</c:v>
                </c:pt>
                <c:pt idx="33">
                  <c:v>Nice</c:v>
                </c:pt>
                <c:pt idx="34">
                  <c:v>Marseille -Aix en provence</c:v>
                </c:pt>
                <c:pt idx="35">
                  <c:v>Fréjus</c:v>
                </c:pt>
                <c:pt idx="36">
                  <c:v>Bastia</c:v>
                </c:pt>
                <c:pt idx="37">
                  <c:v>Corte</c:v>
                </c:pt>
                <c:pt idx="38">
                  <c:v>Ajaccio</c:v>
                </c:pt>
              </c:strCache>
            </c:strRef>
          </c:cat>
          <c:val>
            <c:numRef>
              <c:f>Criteres!$U$50:$U$88</c:f>
              <c:numCache>
                <c:formatCode>General</c:formatCode>
                <c:ptCount val="39"/>
                <c:pt idx="0">
                  <c:v>43</c:v>
                </c:pt>
                <c:pt idx="1">
                  <c:v>47</c:v>
                </c:pt>
                <c:pt idx="2">
                  <c:v>38</c:v>
                </c:pt>
                <c:pt idx="3">
                  <c:v>46</c:v>
                </c:pt>
                <c:pt idx="4">
                  <c:v>41</c:v>
                </c:pt>
                <c:pt idx="5">
                  <c:v>46</c:v>
                </c:pt>
                <c:pt idx="6">
                  <c:v>49</c:v>
                </c:pt>
                <c:pt idx="7">
                  <c:v>50</c:v>
                </c:pt>
                <c:pt idx="8">
                  <c:v>52</c:v>
                </c:pt>
                <c:pt idx="9">
                  <c:v>48</c:v>
                </c:pt>
                <c:pt idx="10">
                  <c:v>44</c:v>
                </c:pt>
                <c:pt idx="11">
                  <c:v>48</c:v>
                </c:pt>
                <c:pt idx="12">
                  <c:v>42</c:v>
                </c:pt>
                <c:pt idx="13">
                  <c:v>51</c:v>
                </c:pt>
                <c:pt idx="14">
                  <c:v>49</c:v>
                </c:pt>
                <c:pt idx="15">
                  <c:v>49</c:v>
                </c:pt>
                <c:pt idx="16">
                  <c:v>45</c:v>
                </c:pt>
                <c:pt idx="17">
                  <c:v>47</c:v>
                </c:pt>
                <c:pt idx="18">
                  <c:v>50</c:v>
                </c:pt>
                <c:pt idx="19">
                  <c:v>48</c:v>
                </c:pt>
                <c:pt idx="20">
                  <c:v>47</c:v>
                </c:pt>
                <c:pt idx="21">
                  <c:v>49</c:v>
                </c:pt>
                <c:pt idx="22">
                  <c:v>43</c:v>
                </c:pt>
                <c:pt idx="23">
                  <c:v>46</c:v>
                </c:pt>
                <c:pt idx="24">
                  <c:v>45</c:v>
                </c:pt>
                <c:pt idx="25">
                  <c:v>44</c:v>
                </c:pt>
                <c:pt idx="26">
                  <c:v>45</c:v>
                </c:pt>
                <c:pt idx="27">
                  <c:v>46</c:v>
                </c:pt>
                <c:pt idx="28">
                  <c:v>42</c:v>
                </c:pt>
                <c:pt idx="29">
                  <c:v>49</c:v>
                </c:pt>
                <c:pt idx="30">
                  <c:v>46</c:v>
                </c:pt>
                <c:pt idx="31">
                  <c:v>47</c:v>
                </c:pt>
                <c:pt idx="32">
                  <c:v>53</c:v>
                </c:pt>
                <c:pt idx="33">
                  <c:v>47</c:v>
                </c:pt>
                <c:pt idx="34">
                  <c:v>46</c:v>
                </c:pt>
                <c:pt idx="35">
                  <c:v>43</c:v>
                </c:pt>
                <c:pt idx="36">
                  <c:v>44</c:v>
                </c:pt>
                <c:pt idx="37">
                  <c:v>52</c:v>
                </c:pt>
                <c:pt idx="38">
                  <c:v>48</c:v>
                </c:pt>
              </c:numCache>
            </c:numRef>
          </c:val>
          <c:extLst>
            <c:ext xmlns:c16="http://schemas.microsoft.com/office/drawing/2014/chart" uri="{C3380CC4-5D6E-409C-BE32-E72D297353CC}">
              <c16:uniqueId val="{00000000-0070-2F4D-9016-59A8B6E3F4A8}"/>
            </c:ext>
          </c:extLst>
        </c:ser>
        <c:dLbls>
          <c:showLegendKey val="0"/>
          <c:showVal val="0"/>
          <c:showCatName val="0"/>
          <c:showSerName val="0"/>
          <c:showPercent val="0"/>
          <c:showBubbleSize val="0"/>
        </c:dLbls>
        <c:gapWidth val="150"/>
        <c:axId val="2120884728"/>
        <c:axId val="2111984712"/>
      </c:barChart>
      <c:catAx>
        <c:axId val="2120884728"/>
        <c:scaling>
          <c:orientation val="minMax"/>
        </c:scaling>
        <c:delete val="0"/>
        <c:axPos val="b"/>
        <c:numFmt formatCode="General" sourceLinked="0"/>
        <c:majorTickMark val="out"/>
        <c:minorTickMark val="none"/>
        <c:tickLblPos val="nextTo"/>
        <c:crossAx val="2111984712"/>
        <c:crosses val="autoZero"/>
        <c:auto val="1"/>
        <c:lblAlgn val="ctr"/>
        <c:lblOffset val="100"/>
        <c:noMultiLvlLbl val="0"/>
      </c:catAx>
      <c:valAx>
        <c:axId val="2111984712"/>
        <c:scaling>
          <c:orientation val="minMax"/>
        </c:scaling>
        <c:delete val="0"/>
        <c:axPos val="l"/>
        <c:majorGridlines/>
        <c:title>
          <c:tx>
            <c:rich>
              <a:bodyPr rot="-5400000" vert="horz"/>
              <a:lstStyle/>
              <a:p>
                <a:pPr>
                  <a:defRPr b="0" cap="none" spc="0">
                    <a:ln w="18415" cmpd="sng">
                      <a:solidFill>
                        <a:srgbClr val="FFFFFF"/>
                      </a:solidFill>
                      <a:prstDash val="solid"/>
                    </a:ln>
                    <a:solidFill>
                      <a:srgbClr val="FFFFFF"/>
                    </a:solidFill>
                    <a:effectLst>
                      <a:outerShdw blurRad="63500" dir="3600000" algn="tl" rotWithShape="0">
                        <a:srgbClr val="000000">
                          <a:alpha val="70000"/>
                        </a:srgbClr>
                      </a:outerShdw>
                    </a:effectLst>
                  </a:defRPr>
                </a:pPr>
                <a:r>
                  <a:rPr lang="fr-FR" sz="16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SCORE</a:t>
                </a:r>
                <a:r>
                  <a:rPr lang="fr-FR" sz="16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OBTENU</a:t>
                </a:r>
                <a:endParaRPr lang="fr-FR" sz="16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c:rich>
          </c:tx>
          <c:overlay val="0"/>
        </c:title>
        <c:numFmt formatCode="General" sourceLinked="1"/>
        <c:majorTickMark val="out"/>
        <c:minorTickMark val="none"/>
        <c:tickLblPos val="nextTo"/>
        <c:crossAx val="2120884728"/>
        <c:crosses val="autoZero"/>
        <c:crossBetween val="between"/>
      </c:valAx>
      <c:spPr>
        <a:solidFill>
          <a:srgbClr val="C7B8B5"/>
        </a:solidFill>
      </c:spPr>
    </c:plotArea>
    <c:plotVisOnly val="1"/>
    <c:dispBlanksAs val="gap"/>
    <c:showDLblsOverMax val="0"/>
  </c:chart>
  <c:spPr>
    <a:solidFill>
      <a:srgbClr val="C7B8B5"/>
    </a:solidFill>
    <a:ln>
      <a:noFill/>
    </a:ln>
    <a:effectLst>
      <a:outerShdw blurRad="50800" dist="38100" dir="2700000" algn="tl" rotWithShape="0">
        <a:srgbClr val="A18783">
          <a:alpha val="43000"/>
        </a:srgbClr>
      </a:outerShdw>
      <a:softEdge rad="101600"/>
    </a:effectLst>
  </c:spPr>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8" Type="http://schemas.openxmlformats.org/officeDocument/2006/relationships/image" Target="../media/image8.png"/><Relationship Id="rId3"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647700</xdr:colOff>
          <xdr:row>10</xdr:row>
          <xdr:rowOff>152400</xdr:rowOff>
        </xdr:from>
        <xdr:to>
          <xdr:col>10</xdr:col>
          <xdr:colOff>812800</xdr:colOff>
          <xdr:row>17</xdr:row>
          <xdr:rowOff>127000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GO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10658</xdr:colOff>
      <xdr:row>7</xdr:row>
      <xdr:rowOff>25161</xdr:rowOff>
    </xdr:from>
    <xdr:to>
      <xdr:col>9</xdr:col>
      <xdr:colOff>619216</xdr:colOff>
      <xdr:row>45</xdr:row>
      <xdr:rowOff>98563</xdr:rowOff>
    </xdr:to>
    <xdr:grpSp>
      <xdr:nvGrpSpPr>
        <xdr:cNvPr id="3" name="Grouper 2">
          <a:extLst>
            <a:ext uri="{FF2B5EF4-FFF2-40B4-BE49-F238E27FC236}">
              <a16:creationId xmlns:a16="http://schemas.microsoft.com/office/drawing/2014/main" id="{00000000-0008-0000-0100-000003000000}"/>
            </a:ext>
          </a:extLst>
        </xdr:cNvPr>
        <xdr:cNvGrpSpPr/>
      </xdr:nvGrpSpPr>
      <xdr:grpSpPr>
        <a:xfrm>
          <a:off x="892187" y="1384808"/>
          <a:ext cx="7645853" cy="7514108"/>
          <a:chOff x="886958" y="1269761"/>
          <a:chExt cx="7618958" cy="6906002"/>
        </a:xfrm>
      </xdr:grpSpPr>
      <xdr:sp macro="[0]!Forme_Cliquer" textlink="">
        <xdr:nvSpPr>
          <xdr:cNvPr id="323" name="Auvergne_Rhône_Alpes">
            <a:extLst>
              <a:ext uri="{FF2B5EF4-FFF2-40B4-BE49-F238E27FC236}">
                <a16:creationId xmlns:a16="http://schemas.microsoft.com/office/drawing/2014/main" id="{00000000-0008-0000-0100-000043010000}"/>
              </a:ext>
            </a:extLst>
          </xdr:cNvPr>
          <xdr:cNvSpPr/>
        </xdr:nvSpPr>
        <xdr:spPr>
          <a:xfrm>
            <a:off x="4800147" y="4495438"/>
            <a:ext cx="3087974" cy="2005019"/>
          </a:xfrm>
          <a:custGeom>
            <a:avLst/>
            <a:gdLst>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63914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2542 w 2812142"/>
              <a:gd name="connsiteY29" fmla="*/ 199571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79400 w 2812142"/>
              <a:gd name="connsiteY47" fmla="*/ 504371 h 2046514"/>
              <a:gd name="connsiteX48" fmla="*/ 272142 w 2812142"/>
              <a:gd name="connsiteY48" fmla="*/ 547914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5257 w 2812142"/>
              <a:gd name="connsiteY77" fmla="*/ 1672771 h 2046514"/>
              <a:gd name="connsiteX78" fmla="*/ 587828 w 2812142"/>
              <a:gd name="connsiteY78" fmla="*/ 1462314 h 2046514"/>
              <a:gd name="connsiteX79" fmla="*/ 613228 w 2812142"/>
              <a:gd name="connsiteY79" fmla="*/ 1491343 h 2046514"/>
              <a:gd name="connsiteX80" fmla="*/ 707571 w 2812142"/>
              <a:gd name="connsiteY80" fmla="*/ 1407886 h 2046514"/>
              <a:gd name="connsiteX81" fmla="*/ 747485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63914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2542 w 2812142"/>
              <a:gd name="connsiteY29" fmla="*/ 199571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79400 w 2812142"/>
              <a:gd name="connsiteY47" fmla="*/ 504371 h 2046514"/>
              <a:gd name="connsiteX48" fmla="*/ 272142 w 2812142"/>
              <a:gd name="connsiteY48" fmla="*/ 547914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87828 w 2812142"/>
              <a:gd name="connsiteY78" fmla="*/ 1462314 h 2046514"/>
              <a:gd name="connsiteX79" fmla="*/ 613228 w 2812142"/>
              <a:gd name="connsiteY79" fmla="*/ 1491343 h 2046514"/>
              <a:gd name="connsiteX80" fmla="*/ 707571 w 2812142"/>
              <a:gd name="connsiteY80" fmla="*/ 1407886 h 2046514"/>
              <a:gd name="connsiteX81" fmla="*/ 747485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63914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2542 w 2812142"/>
              <a:gd name="connsiteY29" fmla="*/ 199571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79400 w 2812142"/>
              <a:gd name="connsiteY47" fmla="*/ 504371 h 2046514"/>
              <a:gd name="connsiteX48" fmla="*/ 272142 w 2812142"/>
              <a:gd name="connsiteY48" fmla="*/ 547914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07571 w 2812142"/>
              <a:gd name="connsiteY80" fmla="*/ 1407886 h 2046514"/>
              <a:gd name="connsiteX81" fmla="*/ 747485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63914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79400 w 2812142"/>
              <a:gd name="connsiteY47" fmla="*/ 504371 h 2046514"/>
              <a:gd name="connsiteX48" fmla="*/ 272142 w 2812142"/>
              <a:gd name="connsiteY48" fmla="*/ 547914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07571 w 2812142"/>
              <a:gd name="connsiteY80" fmla="*/ 1407886 h 2046514"/>
              <a:gd name="connsiteX81" fmla="*/ 747485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79400 w 2812142"/>
              <a:gd name="connsiteY47" fmla="*/ 504371 h 2046514"/>
              <a:gd name="connsiteX48" fmla="*/ 272142 w 2812142"/>
              <a:gd name="connsiteY48" fmla="*/ 547914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07571 w 2812142"/>
              <a:gd name="connsiteY80" fmla="*/ 1407886 h 2046514"/>
              <a:gd name="connsiteX81" fmla="*/ 747485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79400 w 2812142"/>
              <a:gd name="connsiteY47" fmla="*/ 504371 h 2046514"/>
              <a:gd name="connsiteX48" fmla="*/ 272142 w 2812142"/>
              <a:gd name="connsiteY48" fmla="*/ 547914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18457 w 2812142"/>
              <a:gd name="connsiteY80" fmla="*/ 1415143 h 2046514"/>
              <a:gd name="connsiteX81" fmla="*/ 747485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79400 w 2812142"/>
              <a:gd name="connsiteY47" fmla="*/ 504371 h 2046514"/>
              <a:gd name="connsiteX48" fmla="*/ 272142 w 2812142"/>
              <a:gd name="connsiteY48" fmla="*/ 547914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18457 w 2812142"/>
              <a:gd name="connsiteY80" fmla="*/ 1415143 h 2046514"/>
              <a:gd name="connsiteX81" fmla="*/ 736599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68514 w 2812142"/>
              <a:gd name="connsiteY47" fmla="*/ 497114 h 2046514"/>
              <a:gd name="connsiteX48" fmla="*/ 272142 w 2812142"/>
              <a:gd name="connsiteY48" fmla="*/ 547914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18457 w 2812142"/>
              <a:gd name="connsiteY80" fmla="*/ 1415143 h 2046514"/>
              <a:gd name="connsiteX81" fmla="*/ 736599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83028 w 2812142"/>
              <a:gd name="connsiteY42" fmla="*/ 210457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68514 w 2812142"/>
              <a:gd name="connsiteY47" fmla="*/ 497114 h 2046514"/>
              <a:gd name="connsiteX48" fmla="*/ 268513 w 2812142"/>
              <a:gd name="connsiteY48" fmla="*/ 562429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18457 w 2812142"/>
              <a:gd name="connsiteY80" fmla="*/ 1415143 h 2046514"/>
              <a:gd name="connsiteX81" fmla="*/ 736599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57637 w 2812142"/>
              <a:gd name="connsiteY42" fmla="*/ 231542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68514 w 2812142"/>
              <a:gd name="connsiteY47" fmla="*/ 497114 h 2046514"/>
              <a:gd name="connsiteX48" fmla="*/ 268513 w 2812142"/>
              <a:gd name="connsiteY48" fmla="*/ 562429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54428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18457 w 2812142"/>
              <a:gd name="connsiteY80" fmla="*/ 1415143 h 2046514"/>
              <a:gd name="connsiteX81" fmla="*/ 736599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57637 w 2812142"/>
              <a:gd name="connsiteY42" fmla="*/ 231542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68514 w 2812142"/>
              <a:gd name="connsiteY47" fmla="*/ 497114 h 2046514"/>
              <a:gd name="connsiteX48" fmla="*/ 268513 w 2812142"/>
              <a:gd name="connsiteY48" fmla="*/ 562429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83457 w 2812142"/>
              <a:gd name="connsiteY58" fmla="*/ 1255486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41733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18457 w 2812142"/>
              <a:gd name="connsiteY80" fmla="*/ 1415143 h 2046514"/>
              <a:gd name="connsiteX81" fmla="*/ 736599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57637 w 2812142"/>
              <a:gd name="connsiteY42" fmla="*/ 231542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68514 w 2812142"/>
              <a:gd name="connsiteY47" fmla="*/ 497114 h 2046514"/>
              <a:gd name="connsiteX48" fmla="*/ 268513 w 2812142"/>
              <a:gd name="connsiteY48" fmla="*/ 562429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74994 w 2812142"/>
              <a:gd name="connsiteY58" fmla="*/ 1268137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41733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18457 w 2812142"/>
              <a:gd name="connsiteY80" fmla="*/ 1415143 h 2046514"/>
              <a:gd name="connsiteX81" fmla="*/ 736599 w 2812142"/>
              <a:gd name="connsiteY81" fmla="*/ 1422400 h 2046514"/>
              <a:gd name="connsiteX82" fmla="*/ 762000 w 2812142"/>
              <a:gd name="connsiteY82" fmla="*/ 1502229 h 2046514"/>
              <a:gd name="connsiteX83" fmla="*/ 841828 w 2812142"/>
              <a:gd name="connsiteY83" fmla="*/ 1524000 h 2046514"/>
              <a:gd name="connsiteX84" fmla="*/ 845457 w 2812142"/>
              <a:gd name="connsiteY84" fmla="*/ 1487714 h 2046514"/>
              <a:gd name="connsiteX85" fmla="*/ 870857 w 2812142"/>
              <a:gd name="connsiteY85" fmla="*/ 1484086 h 2046514"/>
              <a:gd name="connsiteX86" fmla="*/ 997857 w 2812142"/>
              <a:gd name="connsiteY86" fmla="*/ 1585686 h 2046514"/>
              <a:gd name="connsiteX87" fmla="*/ 1019628 w 2812142"/>
              <a:gd name="connsiteY87" fmla="*/ 1701800 h 2046514"/>
              <a:gd name="connsiteX88" fmla="*/ 1110342 w 2812142"/>
              <a:gd name="connsiteY88" fmla="*/ 1872343 h 2046514"/>
              <a:gd name="connsiteX89" fmla="*/ 1204685 w 2812142"/>
              <a:gd name="connsiteY89" fmla="*/ 1944914 h 2046514"/>
              <a:gd name="connsiteX90" fmla="*/ 1295400 w 2812142"/>
              <a:gd name="connsiteY90" fmla="*/ 1886857 h 2046514"/>
              <a:gd name="connsiteX91" fmla="*/ 1302657 w 2812142"/>
              <a:gd name="connsiteY91" fmla="*/ 1923143 h 2046514"/>
              <a:gd name="connsiteX92" fmla="*/ 1328057 w 2812142"/>
              <a:gd name="connsiteY92" fmla="*/ 1897743 h 2046514"/>
              <a:gd name="connsiteX93" fmla="*/ 1367971 w 2812142"/>
              <a:gd name="connsiteY93" fmla="*/ 1901371 h 2046514"/>
              <a:gd name="connsiteX94" fmla="*/ 1447800 w 2812142"/>
              <a:gd name="connsiteY94" fmla="*/ 1937657 h 2046514"/>
              <a:gd name="connsiteX95" fmla="*/ 1447800 w 2812142"/>
              <a:gd name="connsiteY95" fmla="*/ 1897743 h 2046514"/>
              <a:gd name="connsiteX96" fmla="*/ 1520371 w 2812142"/>
              <a:gd name="connsiteY96" fmla="*/ 1905000 h 2046514"/>
              <a:gd name="connsiteX97" fmla="*/ 1560285 w 2812142"/>
              <a:gd name="connsiteY97" fmla="*/ 1955800 h 2046514"/>
              <a:gd name="connsiteX98" fmla="*/ 1669142 w 2812142"/>
              <a:gd name="connsiteY98" fmla="*/ 1901371 h 2046514"/>
              <a:gd name="connsiteX99" fmla="*/ 1705428 w 2812142"/>
              <a:gd name="connsiteY99" fmla="*/ 1926771 h 2046514"/>
              <a:gd name="connsiteX100" fmla="*/ 1734457 w 2812142"/>
              <a:gd name="connsiteY100" fmla="*/ 1897743 h 2046514"/>
              <a:gd name="connsiteX101" fmla="*/ 1738085 w 2812142"/>
              <a:gd name="connsiteY101" fmla="*/ 1973943 h 2046514"/>
              <a:gd name="connsiteX102" fmla="*/ 1854200 w 2812142"/>
              <a:gd name="connsiteY102" fmla="*/ 1984829 h 2046514"/>
              <a:gd name="connsiteX103" fmla="*/ 1865085 w 2812142"/>
              <a:gd name="connsiteY103" fmla="*/ 2024743 h 2046514"/>
              <a:gd name="connsiteX104" fmla="*/ 1930400 w 2812142"/>
              <a:gd name="connsiteY104" fmla="*/ 2046514 h 2046514"/>
              <a:gd name="connsiteX105" fmla="*/ 1981200 w 2812142"/>
              <a:gd name="connsiteY105" fmla="*/ 1981200 h 2046514"/>
              <a:gd name="connsiteX106" fmla="*/ 2021114 w 2812142"/>
              <a:gd name="connsiteY106" fmla="*/ 1977571 h 2046514"/>
              <a:gd name="connsiteX107" fmla="*/ 2024742 w 2812142"/>
              <a:gd name="connsiteY107" fmla="*/ 1923143 h 2046514"/>
              <a:gd name="connsiteX108" fmla="*/ 1912257 w 2812142"/>
              <a:gd name="connsiteY108" fmla="*/ 1854200 h 2046514"/>
              <a:gd name="connsiteX109" fmla="*/ 1879600 w 2812142"/>
              <a:gd name="connsiteY109" fmla="*/ 1814286 h 2046514"/>
              <a:gd name="connsiteX110" fmla="*/ 1919514 w 2812142"/>
              <a:gd name="connsiteY110" fmla="*/ 1748971 h 2046514"/>
              <a:gd name="connsiteX111" fmla="*/ 1973942 w 2812142"/>
              <a:gd name="connsiteY111" fmla="*/ 1778000 h 2046514"/>
              <a:gd name="connsiteX112" fmla="*/ 2002971 w 2812142"/>
              <a:gd name="connsiteY112" fmla="*/ 1727200 h 2046514"/>
              <a:gd name="connsiteX113" fmla="*/ 1970314 w 2812142"/>
              <a:gd name="connsiteY113" fmla="*/ 1712686 h 2046514"/>
              <a:gd name="connsiteX114" fmla="*/ 2002971 w 2812142"/>
              <a:gd name="connsiteY114" fmla="*/ 1618343 h 2046514"/>
              <a:gd name="connsiteX115" fmla="*/ 2075542 w 2812142"/>
              <a:gd name="connsiteY115" fmla="*/ 1618343 h 2046514"/>
              <a:gd name="connsiteX116" fmla="*/ 2090057 w 2812142"/>
              <a:gd name="connsiteY116" fmla="*/ 1538514 h 2046514"/>
              <a:gd name="connsiteX117" fmla="*/ 2151742 w 2812142"/>
              <a:gd name="connsiteY117" fmla="*/ 1524000 h 2046514"/>
              <a:gd name="connsiteX118" fmla="*/ 2173514 w 2812142"/>
              <a:gd name="connsiteY118" fmla="*/ 1480457 h 2046514"/>
              <a:gd name="connsiteX119" fmla="*/ 2318657 w 2812142"/>
              <a:gd name="connsiteY119" fmla="*/ 1440543 h 2046514"/>
              <a:gd name="connsiteX120" fmla="*/ 2369457 w 2812142"/>
              <a:gd name="connsiteY120" fmla="*/ 1455057 h 2046514"/>
              <a:gd name="connsiteX121" fmla="*/ 2380342 w 2812142"/>
              <a:gd name="connsiteY121" fmla="*/ 1367971 h 2046514"/>
              <a:gd name="connsiteX122" fmla="*/ 2322285 w 2812142"/>
              <a:gd name="connsiteY122" fmla="*/ 1335314 h 2046514"/>
              <a:gd name="connsiteX123" fmla="*/ 2300514 w 2812142"/>
              <a:gd name="connsiteY123" fmla="*/ 1288143 h 2046514"/>
              <a:gd name="connsiteX124" fmla="*/ 2322285 w 2812142"/>
              <a:gd name="connsiteY124" fmla="*/ 1237343 h 2046514"/>
              <a:gd name="connsiteX125" fmla="*/ 2423885 w 2812142"/>
              <a:gd name="connsiteY125" fmla="*/ 1284514 h 2046514"/>
              <a:gd name="connsiteX126" fmla="*/ 2442028 w 2812142"/>
              <a:gd name="connsiteY126" fmla="*/ 1255486 h 2046514"/>
              <a:gd name="connsiteX127" fmla="*/ 2514600 w 2812142"/>
              <a:gd name="connsiteY127" fmla="*/ 1244600 h 2046514"/>
              <a:gd name="connsiteX128" fmla="*/ 2764971 w 2812142"/>
              <a:gd name="connsiteY128" fmla="*/ 1139371 h 2046514"/>
              <a:gd name="connsiteX129" fmla="*/ 2790371 w 2812142"/>
              <a:gd name="connsiteY129" fmla="*/ 1088571 h 2046514"/>
              <a:gd name="connsiteX130" fmla="*/ 2775857 w 2812142"/>
              <a:gd name="connsiteY130" fmla="*/ 1063171 h 2046514"/>
              <a:gd name="connsiteX131" fmla="*/ 2812142 w 2812142"/>
              <a:gd name="connsiteY131" fmla="*/ 997857 h 2046514"/>
              <a:gd name="connsiteX132" fmla="*/ 2728685 w 2812142"/>
              <a:gd name="connsiteY132" fmla="*/ 936171 h 2046514"/>
              <a:gd name="connsiteX133" fmla="*/ 2692400 w 2812142"/>
              <a:gd name="connsiteY133" fmla="*/ 874486 h 2046514"/>
              <a:gd name="connsiteX134" fmla="*/ 2696028 w 2812142"/>
              <a:gd name="connsiteY134" fmla="*/ 812800 h 2046514"/>
              <a:gd name="connsiteX135" fmla="*/ 2608942 w 2812142"/>
              <a:gd name="connsiteY135" fmla="*/ 787400 h 2046514"/>
              <a:gd name="connsiteX136" fmla="*/ 2594428 w 2812142"/>
              <a:gd name="connsiteY136" fmla="*/ 751114 h 2046514"/>
              <a:gd name="connsiteX137" fmla="*/ 2587171 w 2812142"/>
              <a:gd name="connsiteY137" fmla="*/ 722086 h 2046514"/>
              <a:gd name="connsiteX138" fmla="*/ 2688771 w 2812142"/>
              <a:gd name="connsiteY138" fmla="*/ 620486 h 2046514"/>
              <a:gd name="connsiteX139" fmla="*/ 2699657 w 2812142"/>
              <a:gd name="connsiteY139" fmla="*/ 573314 h 2046514"/>
              <a:gd name="connsiteX140" fmla="*/ 2616200 w 2812142"/>
              <a:gd name="connsiteY140" fmla="*/ 475343 h 2046514"/>
              <a:gd name="connsiteX141" fmla="*/ 2569028 w 2812142"/>
              <a:gd name="connsiteY141" fmla="*/ 431800 h 2046514"/>
              <a:gd name="connsiteX142" fmla="*/ 2558142 w 2812142"/>
              <a:gd name="connsiteY142" fmla="*/ 431800 h 2046514"/>
              <a:gd name="connsiteX143" fmla="*/ 2590800 w 2812142"/>
              <a:gd name="connsiteY143" fmla="*/ 362857 h 2046514"/>
              <a:gd name="connsiteX144" fmla="*/ 2547257 w 2812142"/>
              <a:gd name="connsiteY144" fmla="*/ 283029 h 2046514"/>
              <a:gd name="connsiteX145" fmla="*/ 2550885 w 2812142"/>
              <a:gd name="connsiteY145" fmla="*/ 246743 h 2046514"/>
              <a:gd name="connsiteX146" fmla="*/ 2485571 w 2812142"/>
              <a:gd name="connsiteY146" fmla="*/ 232229 h 2046514"/>
              <a:gd name="connsiteX147" fmla="*/ 2405742 w 2812142"/>
              <a:gd name="connsiteY147" fmla="*/ 246743 h 2046514"/>
              <a:gd name="connsiteX148" fmla="*/ 2354942 w 2812142"/>
              <a:gd name="connsiteY148" fmla="*/ 286657 h 2046514"/>
              <a:gd name="connsiteX149" fmla="*/ 2296885 w 2812142"/>
              <a:gd name="connsiteY149" fmla="*/ 283029 h 2046514"/>
              <a:gd name="connsiteX150" fmla="*/ 2264228 w 2812142"/>
              <a:gd name="connsiteY150" fmla="*/ 359229 h 2046514"/>
              <a:gd name="connsiteX151" fmla="*/ 2286000 w 2812142"/>
              <a:gd name="connsiteY151" fmla="*/ 381000 h 2046514"/>
              <a:gd name="connsiteX152" fmla="*/ 2206171 w 2812142"/>
              <a:gd name="connsiteY152" fmla="*/ 453571 h 2046514"/>
              <a:gd name="connsiteX153" fmla="*/ 2129971 w 2812142"/>
              <a:gd name="connsiteY153" fmla="*/ 468086 h 2046514"/>
              <a:gd name="connsiteX154" fmla="*/ 2111828 w 2812142"/>
              <a:gd name="connsiteY154" fmla="*/ 464457 h 2046514"/>
              <a:gd name="connsiteX155" fmla="*/ 2119085 w 2812142"/>
              <a:gd name="connsiteY155" fmla="*/ 406400 h 2046514"/>
              <a:gd name="connsiteX156" fmla="*/ 2198914 w 2812142"/>
              <a:gd name="connsiteY156" fmla="*/ 351971 h 2046514"/>
              <a:gd name="connsiteX157" fmla="*/ 2198914 w 2812142"/>
              <a:gd name="connsiteY157" fmla="*/ 279400 h 2046514"/>
              <a:gd name="connsiteX158" fmla="*/ 2159000 w 2812142"/>
              <a:gd name="connsiteY158" fmla="*/ 246743 h 2046514"/>
              <a:gd name="connsiteX0" fmla="*/ 2159000 w 2812142"/>
              <a:gd name="connsiteY0" fmla="*/ 246743 h 2046514"/>
              <a:gd name="connsiteX1" fmla="*/ 2104571 w 2812142"/>
              <a:gd name="connsiteY1" fmla="*/ 330200 h 2046514"/>
              <a:gd name="connsiteX2" fmla="*/ 2017485 w 2812142"/>
              <a:gd name="connsiteY2" fmla="*/ 381000 h 2046514"/>
              <a:gd name="connsiteX3" fmla="*/ 1984828 w 2812142"/>
              <a:gd name="connsiteY3" fmla="*/ 381000 h 2046514"/>
              <a:gd name="connsiteX4" fmla="*/ 1984828 w 2812142"/>
              <a:gd name="connsiteY4" fmla="*/ 341086 h 2046514"/>
              <a:gd name="connsiteX5" fmla="*/ 1944914 w 2812142"/>
              <a:gd name="connsiteY5" fmla="*/ 326571 h 2046514"/>
              <a:gd name="connsiteX6" fmla="*/ 1883228 w 2812142"/>
              <a:gd name="connsiteY6" fmla="*/ 373743 h 2046514"/>
              <a:gd name="connsiteX7" fmla="*/ 1850571 w 2812142"/>
              <a:gd name="connsiteY7" fmla="*/ 384629 h 2046514"/>
              <a:gd name="connsiteX8" fmla="*/ 1850571 w 2812142"/>
              <a:gd name="connsiteY8" fmla="*/ 348343 h 2046514"/>
              <a:gd name="connsiteX9" fmla="*/ 1821542 w 2812142"/>
              <a:gd name="connsiteY9" fmla="*/ 348343 h 2046514"/>
              <a:gd name="connsiteX10" fmla="*/ 1752600 w 2812142"/>
              <a:gd name="connsiteY10" fmla="*/ 246743 h 2046514"/>
              <a:gd name="connsiteX11" fmla="*/ 1698171 w 2812142"/>
              <a:gd name="connsiteY11" fmla="*/ 203200 h 2046514"/>
              <a:gd name="connsiteX12" fmla="*/ 1632857 w 2812142"/>
              <a:gd name="connsiteY12" fmla="*/ 214086 h 2046514"/>
              <a:gd name="connsiteX13" fmla="*/ 1549400 w 2812142"/>
              <a:gd name="connsiteY13" fmla="*/ 203200 h 2046514"/>
              <a:gd name="connsiteX14" fmla="*/ 1480457 w 2812142"/>
              <a:gd name="connsiteY14" fmla="*/ 457200 h 2046514"/>
              <a:gd name="connsiteX15" fmla="*/ 1418771 w 2812142"/>
              <a:gd name="connsiteY15" fmla="*/ 366486 h 2046514"/>
              <a:gd name="connsiteX16" fmla="*/ 1397000 w 2812142"/>
              <a:gd name="connsiteY16" fmla="*/ 388257 h 2046514"/>
              <a:gd name="connsiteX17" fmla="*/ 1367971 w 2812142"/>
              <a:gd name="connsiteY17" fmla="*/ 373743 h 2046514"/>
              <a:gd name="connsiteX18" fmla="*/ 1324428 w 2812142"/>
              <a:gd name="connsiteY18" fmla="*/ 399143 h 2046514"/>
              <a:gd name="connsiteX19" fmla="*/ 1306285 w 2812142"/>
              <a:gd name="connsiteY19" fmla="*/ 373743 h 2046514"/>
              <a:gd name="connsiteX20" fmla="*/ 1270000 w 2812142"/>
              <a:gd name="connsiteY20" fmla="*/ 402771 h 2046514"/>
              <a:gd name="connsiteX21" fmla="*/ 1270000 w 2812142"/>
              <a:gd name="connsiteY21" fmla="*/ 435429 h 2046514"/>
              <a:gd name="connsiteX22" fmla="*/ 1201057 w 2812142"/>
              <a:gd name="connsiteY22" fmla="*/ 478971 h 2046514"/>
              <a:gd name="connsiteX23" fmla="*/ 1168400 w 2812142"/>
              <a:gd name="connsiteY23" fmla="*/ 460829 h 2046514"/>
              <a:gd name="connsiteX24" fmla="*/ 1095828 w 2812142"/>
              <a:gd name="connsiteY24" fmla="*/ 475343 h 2046514"/>
              <a:gd name="connsiteX25" fmla="*/ 1001485 w 2812142"/>
              <a:gd name="connsiteY25" fmla="*/ 435429 h 2046514"/>
              <a:gd name="connsiteX26" fmla="*/ 1001485 w 2812142"/>
              <a:gd name="connsiteY26" fmla="*/ 402771 h 2046514"/>
              <a:gd name="connsiteX27" fmla="*/ 1055914 w 2812142"/>
              <a:gd name="connsiteY27" fmla="*/ 348343 h 2046514"/>
              <a:gd name="connsiteX28" fmla="*/ 1055914 w 2812142"/>
              <a:gd name="connsiteY28" fmla="*/ 254000 h 2046514"/>
              <a:gd name="connsiteX29" fmla="*/ 936171 w 2812142"/>
              <a:gd name="connsiteY29" fmla="*/ 195942 h 2046514"/>
              <a:gd name="connsiteX30" fmla="*/ 845457 w 2812142"/>
              <a:gd name="connsiteY30" fmla="*/ 39914 h 2046514"/>
              <a:gd name="connsiteX31" fmla="*/ 765628 w 2812142"/>
              <a:gd name="connsiteY31" fmla="*/ 108857 h 2046514"/>
              <a:gd name="connsiteX32" fmla="*/ 707571 w 2812142"/>
              <a:gd name="connsiteY32" fmla="*/ 58057 h 2046514"/>
              <a:gd name="connsiteX33" fmla="*/ 693057 w 2812142"/>
              <a:gd name="connsiteY33" fmla="*/ 79829 h 2046514"/>
              <a:gd name="connsiteX34" fmla="*/ 624114 w 2812142"/>
              <a:gd name="connsiteY34" fmla="*/ 79829 h 2046514"/>
              <a:gd name="connsiteX35" fmla="*/ 533400 w 2812142"/>
              <a:gd name="connsiteY35" fmla="*/ 7257 h 2046514"/>
              <a:gd name="connsiteX36" fmla="*/ 497114 w 2812142"/>
              <a:gd name="connsiteY36" fmla="*/ 0 h 2046514"/>
              <a:gd name="connsiteX37" fmla="*/ 468085 w 2812142"/>
              <a:gd name="connsiteY37" fmla="*/ 0 h 2046514"/>
              <a:gd name="connsiteX38" fmla="*/ 413657 w 2812142"/>
              <a:gd name="connsiteY38" fmla="*/ 50800 h 2046514"/>
              <a:gd name="connsiteX39" fmla="*/ 319314 w 2812142"/>
              <a:gd name="connsiteY39" fmla="*/ 79829 h 2046514"/>
              <a:gd name="connsiteX40" fmla="*/ 283028 w 2812142"/>
              <a:gd name="connsiteY40" fmla="*/ 101600 h 2046514"/>
              <a:gd name="connsiteX41" fmla="*/ 301171 w 2812142"/>
              <a:gd name="connsiteY41" fmla="*/ 181429 h 2046514"/>
              <a:gd name="connsiteX42" fmla="*/ 257637 w 2812142"/>
              <a:gd name="connsiteY42" fmla="*/ 231542 h 2046514"/>
              <a:gd name="connsiteX43" fmla="*/ 163285 w 2812142"/>
              <a:gd name="connsiteY43" fmla="*/ 221343 h 2046514"/>
              <a:gd name="connsiteX44" fmla="*/ 123371 w 2812142"/>
              <a:gd name="connsiteY44" fmla="*/ 293914 h 2046514"/>
              <a:gd name="connsiteX45" fmla="*/ 130628 w 2812142"/>
              <a:gd name="connsiteY45" fmla="*/ 333829 h 2046514"/>
              <a:gd name="connsiteX46" fmla="*/ 235857 w 2812142"/>
              <a:gd name="connsiteY46" fmla="*/ 410029 h 2046514"/>
              <a:gd name="connsiteX47" fmla="*/ 268514 w 2812142"/>
              <a:gd name="connsiteY47" fmla="*/ 497114 h 2046514"/>
              <a:gd name="connsiteX48" fmla="*/ 268513 w 2812142"/>
              <a:gd name="connsiteY48" fmla="*/ 562429 h 2046514"/>
              <a:gd name="connsiteX49" fmla="*/ 293914 w 2812142"/>
              <a:gd name="connsiteY49" fmla="*/ 638629 h 2046514"/>
              <a:gd name="connsiteX50" fmla="*/ 174171 w 2812142"/>
              <a:gd name="connsiteY50" fmla="*/ 751114 h 2046514"/>
              <a:gd name="connsiteX51" fmla="*/ 235857 w 2812142"/>
              <a:gd name="connsiteY51" fmla="*/ 823686 h 2046514"/>
              <a:gd name="connsiteX52" fmla="*/ 250371 w 2812142"/>
              <a:gd name="connsiteY52" fmla="*/ 881743 h 2046514"/>
              <a:gd name="connsiteX53" fmla="*/ 228600 w 2812142"/>
              <a:gd name="connsiteY53" fmla="*/ 921657 h 2046514"/>
              <a:gd name="connsiteX54" fmla="*/ 254000 w 2812142"/>
              <a:gd name="connsiteY54" fmla="*/ 1092200 h 2046514"/>
              <a:gd name="connsiteX55" fmla="*/ 177800 w 2812142"/>
              <a:gd name="connsiteY55" fmla="*/ 1074057 h 2046514"/>
              <a:gd name="connsiteX56" fmla="*/ 163285 w 2812142"/>
              <a:gd name="connsiteY56" fmla="*/ 1113971 h 2046514"/>
              <a:gd name="connsiteX57" fmla="*/ 65314 w 2812142"/>
              <a:gd name="connsiteY57" fmla="*/ 1230086 h 2046514"/>
              <a:gd name="connsiteX58" fmla="*/ 74994 w 2812142"/>
              <a:gd name="connsiteY58" fmla="*/ 1268137 h 2046514"/>
              <a:gd name="connsiteX59" fmla="*/ 54428 w 2812142"/>
              <a:gd name="connsiteY59" fmla="*/ 1288143 h 2046514"/>
              <a:gd name="connsiteX60" fmla="*/ 54428 w 2812142"/>
              <a:gd name="connsiteY60" fmla="*/ 1331686 h 2046514"/>
              <a:gd name="connsiteX61" fmla="*/ 18142 w 2812142"/>
              <a:gd name="connsiteY61" fmla="*/ 1349829 h 2046514"/>
              <a:gd name="connsiteX62" fmla="*/ 25400 w 2812142"/>
              <a:gd name="connsiteY62" fmla="*/ 1386114 h 2046514"/>
              <a:gd name="connsiteX63" fmla="*/ 0 w 2812142"/>
              <a:gd name="connsiteY63" fmla="*/ 1418771 h 2046514"/>
              <a:gd name="connsiteX64" fmla="*/ 0 w 2812142"/>
              <a:gd name="connsiteY64" fmla="*/ 1473200 h 2046514"/>
              <a:gd name="connsiteX65" fmla="*/ 41733 w 2812142"/>
              <a:gd name="connsiteY65" fmla="*/ 1563914 h 2046514"/>
              <a:gd name="connsiteX66" fmla="*/ 36285 w 2812142"/>
              <a:gd name="connsiteY66" fmla="*/ 1618343 h 2046514"/>
              <a:gd name="connsiteX67" fmla="*/ 72571 w 2812142"/>
              <a:gd name="connsiteY67" fmla="*/ 1690914 h 2046514"/>
              <a:gd name="connsiteX68" fmla="*/ 137885 w 2812142"/>
              <a:gd name="connsiteY68" fmla="*/ 1658257 h 2046514"/>
              <a:gd name="connsiteX69" fmla="*/ 214085 w 2812142"/>
              <a:gd name="connsiteY69" fmla="*/ 1669143 h 2046514"/>
              <a:gd name="connsiteX70" fmla="*/ 272142 w 2812142"/>
              <a:gd name="connsiteY70" fmla="*/ 1603829 h 2046514"/>
              <a:gd name="connsiteX71" fmla="*/ 304800 w 2812142"/>
              <a:gd name="connsiteY71" fmla="*/ 1494971 h 2046514"/>
              <a:gd name="connsiteX72" fmla="*/ 362857 w 2812142"/>
              <a:gd name="connsiteY72" fmla="*/ 1444171 h 2046514"/>
              <a:gd name="connsiteX73" fmla="*/ 431800 w 2812142"/>
              <a:gd name="connsiteY73" fmla="*/ 1487714 h 2046514"/>
              <a:gd name="connsiteX74" fmla="*/ 449942 w 2812142"/>
              <a:gd name="connsiteY74" fmla="*/ 1545771 h 2046514"/>
              <a:gd name="connsiteX75" fmla="*/ 475342 w 2812142"/>
              <a:gd name="connsiteY75" fmla="*/ 1567543 h 2046514"/>
              <a:gd name="connsiteX76" fmla="*/ 471714 w 2812142"/>
              <a:gd name="connsiteY76" fmla="*/ 1607457 h 2046514"/>
              <a:gd name="connsiteX77" fmla="*/ 511629 w 2812142"/>
              <a:gd name="connsiteY77" fmla="*/ 1672771 h 2046514"/>
              <a:gd name="connsiteX78" fmla="*/ 595085 w 2812142"/>
              <a:gd name="connsiteY78" fmla="*/ 1476828 h 2046514"/>
              <a:gd name="connsiteX79" fmla="*/ 613228 w 2812142"/>
              <a:gd name="connsiteY79" fmla="*/ 1491343 h 2046514"/>
              <a:gd name="connsiteX80" fmla="*/ 718457 w 2812142"/>
              <a:gd name="connsiteY80" fmla="*/ 1415143 h 2046514"/>
              <a:gd name="connsiteX81" fmla="*/ 736599 w 2812142"/>
              <a:gd name="connsiteY81" fmla="*/ 1422400 h 2046514"/>
              <a:gd name="connsiteX82" fmla="*/ 762000 w 2812142"/>
              <a:gd name="connsiteY82" fmla="*/ 1502229 h 2046514"/>
              <a:gd name="connsiteX83" fmla="*/ 841828 w 2812142"/>
              <a:gd name="connsiteY83" fmla="*/ 1524000 h 2046514"/>
              <a:gd name="connsiteX84" fmla="*/ 870857 w 2812142"/>
              <a:gd name="connsiteY84" fmla="*/ 1484086 h 2046514"/>
              <a:gd name="connsiteX85" fmla="*/ 997857 w 2812142"/>
              <a:gd name="connsiteY85" fmla="*/ 1585686 h 2046514"/>
              <a:gd name="connsiteX86" fmla="*/ 1019628 w 2812142"/>
              <a:gd name="connsiteY86" fmla="*/ 1701800 h 2046514"/>
              <a:gd name="connsiteX87" fmla="*/ 1110342 w 2812142"/>
              <a:gd name="connsiteY87" fmla="*/ 1872343 h 2046514"/>
              <a:gd name="connsiteX88" fmla="*/ 1204685 w 2812142"/>
              <a:gd name="connsiteY88" fmla="*/ 1944914 h 2046514"/>
              <a:gd name="connsiteX89" fmla="*/ 1295400 w 2812142"/>
              <a:gd name="connsiteY89" fmla="*/ 1886857 h 2046514"/>
              <a:gd name="connsiteX90" fmla="*/ 1302657 w 2812142"/>
              <a:gd name="connsiteY90" fmla="*/ 1923143 h 2046514"/>
              <a:gd name="connsiteX91" fmla="*/ 1328057 w 2812142"/>
              <a:gd name="connsiteY91" fmla="*/ 1897743 h 2046514"/>
              <a:gd name="connsiteX92" fmla="*/ 1367971 w 2812142"/>
              <a:gd name="connsiteY92" fmla="*/ 1901371 h 2046514"/>
              <a:gd name="connsiteX93" fmla="*/ 1447800 w 2812142"/>
              <a:gd name="connsiteY93" fmla="*/ 1937657 h 2046514"/>
              <a:gd name="connsiteX94" fmla="*/ 1447800 w 2812142"/>
              <a:gd name="connsiteY94" fmla="*/ 1897743 h 2046514"/>
              <a:gd name="connsiteX95" fmla="*/ 1520371 w 2812142"/>
              <a:gd name="connsiteY95" fmla="*/ 1905000 h 2046514"/>
              <a:gd name="connsiteX96" fmla="*/ 1560285 w 2812142"/>
              <a:gd name="connsiteY96" fmla="*/ 1955800 h 2046514"/>
              <a:gd name="connsiteX97" fmla="*/ 1669142 w 2812142"/>
              <a:gd name="connsiteY97" fmla="*/ 1901371 h 2046514"/>
              <a:gd name="connsiteX98" fmla="*/ 1705428 w 2812142"/>
              <a:gd name="connsiteY98" fmla="*/ 1926771 h 2046514"/>
              <a:gd name="connsiteX99" fmla="*/ 1734457 w 2812142"/>
              <a:gd name="connsiteY99" fmla="*/ 1897743 h 2046514"/>
              <a:gd name="connsiteX100" fmla="*/ 1738085 w 2812142"/>
              <a:gd name="connsiteY100" fmla="*/ 1973943 h 2046514"/>
              <a:gd name="connsiteX101" fmla="*/ 1854200 w 2812142"/>
              <a:gd name="connsiteY101" fmla="*/ 1984829 h 2046514"/>
              <a:gd name="connsiteX102" fmla="*/ 1865085 w 2812142"/>
              <a:gd name="connsiteY102" fmla="*/ 2024743 h 2046514"/>
              <a:gd name="connsiteX103" fmla="*/ 1930400 w 2812142"/>
              <a:gd name="connsiteY103" fmla="*/ 2046514 h 2046514"/>
              <a:gd name="connsiteX104" fmla="*/ 1981200 w 2812142"/>
              <a:gd name="connsiteY104" fmla="*/ 1981200 h 2046514"/>
              <a:gd name="connsiteX105" fmla="*/ 2021114 w 2812142"/>
              <a:gd name="connsiteY105" fmla="*/ 1977571 h 2046514"/>
              <a:gd name="connsiteX106" fmla="*/ 2024742 w 2812142"/>
              <a:gd name="connsiteY106" fmla="*/ 1923143 h 2046514"/>
              <a:gd name="connsiteX107" fmla="*/ 1912257 w 2812142"/>
              <a:gd name="connsiteY107" fmla="*/ 1854200 h 2046514"/>
              <a:gd name="connsiteX108" fmla="*/ 1879600 w 2812142"/>
              <a:gd name="connsiteY108" fmla="*/ 1814286 h 2046514"/>
              <a:gd name="connsiteX109" fmla="*/ 1919514 w 2812142"/>
              <a:gd name="connsiteY109" fmla="*/ 1748971 h 2046514"/>
              <a:gd name="connsiteX110" fmla="*/ 1973942 w 2812142"/>
              <a:gd name="connsiteY110" fmla="*/ 1778000 h 2046514"/>
              <a:gd name="connsiteX111" fmla="*/ 2002971 w 2812142"/>
              <a:gd name="connsiteY111" fmla="*/ 1727200 h 2046514"/>
              <a:gd name="connsiteX112" fmla="*/ 1970314 w 2812142"/>
              <a:gd name="connsiteY112" fmla="*/ 1712686 h 2046514"/>
              <a:gd name="connsiteX113" fmla="*/ 2002971 w 2812142"/>
              <a:gd name="connsiteY113" fmla="*/ 1618343 h 2046514"/>
              <a:gd name="connsiteX114" fmla="*/ 2075542 w 2812142"/>
              <a:gd name="connsiteY114" fmla="*/ 1618343 h 2046514"/>
              <a:gd name="connsiteX115" fmla="*/ 2090057 w 2812142"/>
              <a:gd name="connsiteY115" fmla="*/ 1538514 h 2046514"/>
              <a:gd name="connsiteX116" fmla="*/ 2151742 w 2812142"/>
              <a:gd name="connsiteY116" fmla="*/ 1524000 h 2046514"/>
              <a:gd name="connsiteX117" fmla="*/ 2173514 w 2812142"/>
              <a:gd name="connsiteY117" fmla="*/ 1480457 h 2046514"/>
              <a:gd name="connsiteX118" fmla="*/ 2318657 w 2812142"/>
              <a:gd name="connsiteY118" fmla="*/ 1440543 h 2046514"/>
              <a:gd name="connsiteX119" fmla="*/ 2369457 w 2812142"/>
              <a:gd name="connsiteY119" fmla="*/ 1455057 h 2046514"/>
              <a:gd name="connsiteX120" fmla="*/ 2380342 w 2812142"/>
              <a:gd name="connsiteY120" fmla="*/ 1367971 h 2046514"/>
              <a:gd name="connsiteX121" fmla="*/ 2322285 w 2812142"/>
              <a:gd name="connsiteY121" fmla="*/ 1335314 h 2046514"/>
              <a:gd name="connsiteX122" fmla="*/ 2300514 w 2812142"/>
              <a:gd name="connsiteY122" fmla="*/ 1288143 h 2046514"/>
              <a:gd name="connsiteX123" fmla="*/ 2322285 w 2812142"/>
              <a:gd name="connsiteY123" fmla="*/ 1237343 h 2046514"/>
              <a:gd name="connsiteX124" fmla="*/ 2423885 w 2812142"/>
              <a:gd name="connsiteY124" fmla="*/ 1284514 h 2046514"/>
              <a:gd name="connsiteX125" fmla="*/ 2442028 w 2812142"/>
              <a:gd name="connsiteY125" fmla="*/ 1255486 h 2046514"/>
              <a:gd name="connsiteX126" fmla="*/ 2514600 w 2812142"/>
              <a:gd name="connsiteY126" fmla="*/ 1244600 h 2046514"/>
              <a:gd name="connsiteX127" fmla="*/ 2764971 w 2812142"/>
              <a:gd name="connsiteY127" fmla="*/ 1139371 h 2046514"/>
              <a:gd name="connsiteX128" fmla="*/ 2790371 w 2812142"/>
              <a:gd name="connsiteY128" fmla="*/ 1088571 h 2046514"/>
              <a:gd name="connsiteX129" fmla="*/ 2775857 w 2812142"/>
              <a:gd name="connsiteY129" fmla="*/ 1063171 h 2046514"/>
              <a:gd name="connsiteX130" fmla="*/ 2812142 w 2812142"/>
              <a:gd name="connsiteY130" fmla="*/ 997857 h 2046514"/>
              <a:gd name="connsiteX131" fmla="*/ 2728685 w 2812142"/>
              <a:gd name="connsiteY131" fmla="*/ 936171 h 2046514"/>
              <a:gd name="connsiteX132" fmla="*/ 2692400 w 2812142"/>
              <a:gd name="connsiteY132" fmla="*/ 874486 h 2046514"/>
              <a:gd name="connsiteX133" fmla="*/ 2696028 w 2812142"/>
              <a:gd name="connsiteY133" fmla="*/ 812800 h 2046514"/>
              <a:gd name="connsiteX134" fmla="*/ 2608942 w 2812142"/>
              <a:gd name="connsiteY134" fmla="*/ 787400 h 2046514"/>
              <a:gd name="connsiteX135" fmla="*/ 2594428 w 2812142"/>
              <a:gd name="connsiteY135" fmla="*/ 751114 h 2046514"/>
              <a:gd name="connsiteX136" fmla="*/ 2587171 w 2812142"/>
              <a:gd name="connsiteY136" fmla="*/ 722086 h 2046514"/>
              <a:gd name="connsiteX137" fmla="*/ 2688771 w 2812142"/>
              <a:gd name="connsiteY137" fmla="*/ 620486 h 2046514"/>
              <a:gd name="connsiteX138" fmla="*/ 2699657 w 2812142"/>
              <a:gd name="connsiteY138" fmla="*/ 573314 h 2046514"/>
              <a:gd name="connsiteX139" fmla="*/ 2616200 w 2812142"/>
              <a:gd name="connsiteY139" fmla="*/ 475343 h 2046514"/>
              <a:gd name="connsiteX140" fmla="*/ 2569028 w 2812142"/>
              <a:gd name="connsiteY140" fmla="*/ 431800 h 2046514"/>
              <a:gd name="connsiteX141" fmla="*/ 2558142 w 2812142"/>
              <a:gd name="connsiteY141" fmla="*/ 431800 h 2046514"/>
              <a:gd name="connsiteX142" fmla="*/ 2590800 w 2812142"/>
              <a:gd name="connsiteY142" fmla="*/ 362857 h 2046514"/>
              <a:gd name="connsiteX143" fmla="*/ 2547257 w 2812142"/>
              <a:gd name="connsiteY143" fmla="*/ 283029 h 2046514"/>
              <a:gd name="connsiteX144" fmla="*/ 2550885 w 2812142"/>
              <a:gd name="connsiteY144" fmla="*/ 246743 h 2046514"/>
              <a:gd name="connsiteX145" fmla="*/ 2485571 w 2812142"/>
              <a:gd name="connsiteY145" fmla="*/ 232229 h 2046514"/>
              <a:gd name="connsiteX146" fmla="*/ 2405742 w 2812142"/>
              <a:gd name="connsiteY146" fmla="*/ 246743 h 2046514"/>
              <a:gd name="connsiteX147" fmla="*/ 2354942 w 2812142"/>
              <a:gd name="connsiteY147" fmla="*/ 286657 h 2046514"/>
              <a:gd name="connsiteX148" fmla="*/ 2296885 w 2812142"/>
              <a:gd name="connsiteY148" fmla="*/ 283029 h 2046514"/>
              <a:gd name="connsiteX149" fmla="*/ 2264228 w 2812142"/>
              <a:gd name="connsiteY149" fmla="*/ 359229 h 2046514"/>
              <a:gd name="connsiteX150" fmla="*/ 2286000 w 2812142"/>
              <a:gd name="connsiteY150" fmla="*/ 381000 h 2046514"/>
              <a:gd name="connsiteX151" fmla="*/ 2206171 w 2812142"/>
              <a:gd name="connsiteY151" fmla="*/ 453571 h 2046514"/>
              <a:gd name="connsiteX152" fmla="*/ 2129971 w 2812142"/>
              <a:gd name="connsiteY152" fmla="*/ 468086 h 2046514"/>
              <a:gd name="connsiteX153" fmla="*/ 2111828 w 2812142"/>
              <a:gd name="connsiteY153" fmla="*/ 464457 h 2046514"/>
              <a:gd name="connsiteX154" fmla="*/ 2119085 w 2812142"/>
              <a:gd name="connsiteY154" fmla="*/ 406400 h 2046514"/>
              <a:gd name="connsiteX155" fmla="*/ 2198914 w 2812142"/>
              <a:gd name="connsiteY155" fmla="*/ 351971 h 2046514"/>
              <a:gd name="connsiteX156" fmla="*/ 2198914 w 2812142"/>
              <a:gd name="connsiteY156" fmla="*/ 279400 h 2046514"/>
              <a:gd name="connsiteX157" fmla="*/ 2159000 w 2812142"/>
              <a:gd name="connsiteY157" fmla="*/ 246743 h 204651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Lst>
            <a:rect l="l" t="t" r="r" b="b"/>
            <a:pathLst>
              <a:path w="2812142" h="2046514">
                <a:moveTo>
                  <a:pt x="2159000" y="246743"/>
                </a:moveTo>
                <a:lnTo>
                  <a:pt x="2104571" y="330200"/>
                </a:lnTo>
                <a:lnTo>
                  <a:pt x="2017485" y="381000"/>
                </a:lnTo>
                <a:lnTo>
                  <a:pt x="1984828" y="381000"/>
                </a:lnTo>
                <a:lnTo>
                  <a:pt x="1984828" y="341086"/>
                </a:lnTo>
                <a:lnTo>
                  <a:pt x="1944914" y="326571"/>
                </a:lnTo>
                <a:lnTo>
                  <a:pt x="1883228" y="373743"/>
                </a:lnTo>
                <a:lnTo>
                  <a:pt x="1850571" y="384629"/>
                </a:lnTo>
                <a:lnTo>
                  <a:pt x="1850571" y="348343"/>
                </a:lnTo>
                <a:lnTo>
                  <a:pt x="1821542" y="348343"/>
                </a:lnTo>
                <a:lnTo>
                  <a:pt x="1752600" y="246743"/>
                </a:lnTo>
                <a:lnTo>
                  <a:pt x="1698171" y="203200"/>
                </a:lnTo>
                <a:lnTo>
                  <a:pt x="1632857" y="214086"/>
                </a:lnTo>
                <a:lnTo>
                  <a:pt x="1549400" y="203200"/>
                </a:lnTo>
                <a:lnTo>
                  <a:pt x="1480457" y="457200"/>
                </a:lnTo>
                <a:lnTo>
                  <a:pt x="1418771" y="366486"/>
                </a:lnTo>
                <a:lnTo>
                  <a:pt x="1397000" y="388257"/>
                </a:lnTo>
                <a:lnTo>
                  <a:pt x="1367971" y="373743"/>
                </a:lnTo>
                <a:lnTo>
                  <a:pt x="1324428" y="399143"/>
                </a:lnTo>
                <a:lnTo>
                  <a:pt x="1306285" y="373743"/>
                </a:lnTo>
                <a:lnTo>
                  <a:pt x="1270000" y="402771"/>
                </a:lnTo>
                <a:lnTo>
                  <a:pt x="1270000" y="435429"/>
                </a:lnTo>
                <a:lnTo>
                  <a:pt x="1201057" y="478971"/>
                </a:lnTo>
                <a:lnTo>
                  <a:pt x="1168400" y="460829"/>
                </a:lnTo>
                <a:lnTo>
                  <a:pt x="1095828" y="475343"/>
                </a:lnTo>
                <a:lnTo>
                  <a:pt x="1001485" y="435429"/>
                </a:lnTo>
                <a:lnTo>
                  <a:pt x="1001485" y="402771"/>
                </a:lnTo>
                <a:lnTo>
                  <a:pt x="1055914" y="348343"/>
                </a:lnTo>
                <a:lnTo>
                  <a:pt x="1055914" y="254000"/>
                </a:lnTo>
                <a:lnTo>
                  <a:pt x="936171" y="195942"/>
                </a:lnTo>
                <a:lnTo>
                  <a:pt x="845457" y="39914"/>
                </a:lnTo>
                <a:lnTo>
                  <a:pt x="765628" y="108857"/>
                </a:lnTo>
                <a:lnTo>
                  <a:pt x="707571" y="58057"/>
                </a:lnTo>
                <a:lnTo>
                  <a:pt x="693057" y="79829"/>
                </a:lnTo>
                <a:lnTo>
                  <a:pt x="624114" y="79829"/>
                </a:lnTo>
                <a:lnTo>
                  <a:pt x="533400" y="7257"/>
                </a:lnTo>
                <a:lnTo>
                  <a:pt x="497114" y="0"/>
                </a:lnTo>
                <a:lnTo>
                  <a:pt x="468085" y="0"/>
                </a:lnTo>
                <a:lnTo>
                  <a:pt x="413657" y="50800"/>
                </a:lnTo>
                <a:lnTo>
                  <a:pt x="319314" y="79829"/>
                </a:lnTo>
                <a:lnTo>
                  <a:pt x="283028" y="101600"/>
                </a:lnTo>
                <a:lnTo>
                  <a:pt x="301171" y="181429"/>
                </a:lnTo>
                <a:lnTo>
                  <a:pt x="257637" y="231542"/>
                </a:lnTo>
                <a:lnTo>
                  <a:pt x="163285" y="221343"/>
                </a:lnTo>
                <a:lnTo>
                  <a:pt x="123371" y="293914"/>
                </a:lnTo>
                <a:lnTo>
                  <a:pt x="130628" y="333829"/>
                </a:lnTo>
                <a:lnTo>
                  <a:pt x="235857" y="410029"/>
                </a:lnTo>
                <a:lnTo>
                  <a:pt x="268514" y="497114"/>
                </a:lnTo>
                <a:cubicBezTo>
                  <a:pt x="268514" y="518886"/>
                  <a:pt x="268513" y="540657"/>
                  <a:pt x="268513" y="562429"/>
                </a:cubicBezTo>
                <a:lnTo>
                  <a:pt x="293914" y="638629"/>
                </a:lnTo>
                <a:lnTo>
                  <a:pt x="174171" y="751114"/>
                </a:lnTo>
                <a:lnTo>
                  <a:pt x="235857" y="823686"/>
                </a:lnTo>
                <a:lnTo>
                  <a:pt x="250371" y="881743"/>
                </a:lnTo>
                <a:lnTo>
                  <a:pt x="228600" y="921657"/>
                </a:lnTo>
                <a:lnTo>
                  <a:pt x="254000" y="1092200"/>
                </a:lnTo>
                <a:lnTo>
                  <a:pt x="177800" y="1074057"/>
                </a:lnTo>
                <a:lnTo>
                  <a:pt x="163285" y="1113971"/>
                </a:lnTo>
                <a:lnTo>
                  <a:pt x="65314" y="1230086"/>
                </a:lnTo>
                <a:lnTo>
                  <a:pt x="74994" y="1268137"/>
                </a:lnTo>
                <a:lnTo>
                  <a:pt x="54428" y="1288143"/>
                </a:lnTo>
                <a:lnTo>
                  <a:pt x="54428" y="1331686"/>
                </a:lnTo>
                <a:lnTo>
                  <a:pt x="18142" y="1349829"/>
                </a:lnTo>
                <a:lnTo>
                  <a:pt x="25400" y="1386114"/>
                </a:lnTo>
                <a:lnTo>
                  <a:pt x="0" y="1418771"/>
                </a:lnTo>
                <a:lnTo>
                  <a:pt x="0" y="1473200"/>
                </a:lnTo>
                <a:lnTo>
                  <a:pt x="41733" y="1563914"/>
                </a:lnTo>
                <a:lnTo>
                  <a:pt x="36285" y="1618343"/>
                </a:lnTo>
                <a:lnTo>
                  <a:pt x="72571" y="1690914"/>
                </a:lnTo>
                <a:lnTo>
                  <a:pt x="137885" y="1658257"/>
                </a:lnTo>
                <a:lnTo>
                  <a:pt x="214085" y="1669143"/>
                </a:lnTo>
                <a:lnTo>
                  <a:pt x="272142" y="1603829"/>
                </a:lnTo>
                <a:lnTo>
                  <a:pt x="304800" y="1494971"/>
                </a:lnTo>
                <a:lnTo>
                  <a:pt x="362857" y="1444171"/>
                </a:lnTo>
                <a:lnTo>
                  <a:pt x="431800" y="1487714"/>
                </a:lnTo>
                <a:lnTo>
                  <a:pt x="449942" y="1545771"/>
                </a:lnTo>
                <a:lnTo>
                  <a:pt x="475342" y="1567543"/>
                </a:lnTo>
                <a:lnTo>
                  <a:pt x="471714" y="1607457"/>
                </a:lnTo>
                <a:lnTo>
                  <a:pt x="511629" y="1672771"/>
                </a:lnTo>
                <a:lnTo>
                  <a:pt x="595085" y="1476828"/>
                </a:lnTo>
                <a:lnTo>
                  <a:pt x="613228" y="1491343"/>
                </a:lnTo>
                <a:lnTo>
                  <a:pt x="718457" y="1415143"/>
                </a:lnTo>
                <a:lnTo>
                  <a:pt x="736599" y="1422400"/>
                </a:lnTo>
                <a:lnTo>
                  <a:pt x="762000" y="1502229"/>
                </a:lnTo>
                <a:lnTo>
                  <a:pt x="841828" y="1524000"/>
                </a:lnTo>
                <a:lnTo>
                  <a:pt x="870857" y="1484086"/>
                </a:lnTo>
                <a:lnTo>
                  <a:pt x="997857" y="1585686"/>
                </a:lnTo>
                <a:lnTo>
                  <a:pt x="1019628" y="1701800"/>
                </a:lnTo>
                <a:lnTo>
                  <a:pt x="1110342" y="1872343"/>
                </a:lnTo>
                <a:lnTo>
                  <a:pt x="1204685" y="1944914"/>
                </a:lnTo>
                <a:lnTo>
                  <a:pt x="1295400" y="1886857"/>
                </a:lnTo>
                <a:lnTo>
                  <a:pt x="1302657" y="1923143"/>
                </a:lnTo>
                <a:lnTo>
                  <a:pt x="1328057" y="1897743"/>
                </a:lnTo>
                <a:lnTo>
                  <a:pt x="1367971" y="1901371"/>
                </a:lnTo>
                <a:lnTo>
                  <a:pt x="1447800" y="1937657"/>
                </a:lnTo>
                <a:lnTo>
                  <a:pt x="1447800" y="1897743"/>
                </a:lnTo>
                <a:lnTo>
                  <a:pt x="1520371" y="1905000"/>
                </a:lnTo>
                <a:lnTo>
                  <a:pt x="1560285" y="1955800"/>
                </a:lnTo>
                <a:lnTo>
                  <a:pt x="1669142" y="1901371"/>
                </a:lnTo>
                <a:lnTo>
                  <a:pt x="1705428" y="1926771"/>
                </a:lnTo>
                <a:lnTo>
                  <a:pt x="1734457" y="1897743"/>
                </a:lnTo>
                <a:lnTo>
                  <a:pt x="1738085" y="1973943"/>
                </a:lnTo>
                <a:lnTo>
                  <a:pt x="1854200" y="1984829"/>
                </a:lnTo>
                <a:lnTo>
                  <a:pt x="1865085" y="2024743"/>
                </a:lnTo>
                <a:lnTo>
                  <a:pt x="1930400" y="2046514"/>
                </a:lnTo>
                <a:lnTo>
                  <a:pt x="1981200" y="1981200"/>
                </a:lnTo>
                <a:lnTo>
                  <a:pt x="2021114" y="1977571"/>
                </a:lnTo>
                <a:lnTo>
                  <a:pt x="2024742" y="1923143"/>
                </a:lnTo>
                <a:lnTo>
                  <a:pt x="1912257" y="1854200"/>
                </a:lnTo>
                <a:lnTo>
                  <a:pt x="1879600" y="1814286"/>
                </a:lnTo>
                <a:lnTo>
                  <a:pt x="1919514" y="1748971"/>
                </a:lnTo>
                <a:lnTo>
                  <a:pt x="1973942" y="1778000"/>
                </a:lnTo>
                <a:lnTo>
                  <a:pt x="2002971" y="1727200"/>
                </a:lnTo>
                <a:lnTo>
                  <a:pt x="1970314" y="1712686"/>
                </a:lnTo>
                <a:lnTo>
                  <a:pt x="2002971" y="1618343"/>
                </a:lnTo>
                <a:lnTo>
                  <a:pt x="2075542" y="1618343"/>
                </a:lnTo>
                <a:lnTo>
                  <a:pt x="2090057" y="1538514"/>
                </a:lnTo>
                <a:lnTo>
                  <a:pt x="2151742" y="1524000"/>
                </a:lnTo>
                <a:lnTo>
                  <a:pt x="2173514" y="1480457"/>
                </a:lnTo>
                <a:lnTo>
                  <a:pt x="2318657" y="1440543"/>
                </a:lnTo>
                <a:lnTo>
                  <a:pt x="2369457" y="1455057"/>
                </a:lnTo>
                <a:lnTo>
                  <a:pt x="2380342" y="1367971"/>
                </a:lnTo>
                <a:lnTo>
                  <a:pt x="2322285" y="1335314"/>
                </a:lnTo>
                <a:lnTo>
                  <a:pt x="2300514" y="1288143"/>
                </a:lnTo>
                <a:lnTo>
                  <a:pt x="2322285" y="1237343"/>
                </a:lnTo>
                <a:lnTo>
                  <a:pt x="2423885" y="1284514"/>
                </a:lnTo>
                <a:lnTo>
                  <a:pt x="2442028" y="1255486"/>
                </a:lnTo>
                <a:lnTo>
                  <a:pt x="2514600" y="1244600"/>
                </a:lnTo>
                <a:lnTo>
                  <a:pt x="2764971" y="1139371"/>
                </a:lnTo>
                <a:lnTo>
                  <a:pt x="2790371" y="1088571"/>
                </a:lnTo>
                <a:lnTo>
                  <a:pt x="2775857" y="1063171"/>
                </a:lnTo>
                <a:lnTo>
                  <a:pt x="2812142" y="997857"/>
                </a:lnTo>
                <a:lnTo>
                  <a:pt x="2728685" y="936171"/>
                </a:lnTo>
                <a:lnTo>
                  <a:pt x="2692400" y="874486"/>
                </a:lnTo>
                <a:lnTo>
                  <a:pt x="2696028" y="812800"/>
                </a:lnTo>
                <a:lnTo>
                  <a:pt x="2608942" y="787400"/>
                </a:lnTo>
                <a:lnTo>
                  <a:pt x="2594428" y="751114"/>
                </a:lnTo>
                <a:lnTo>
                  <a:pt x="2587171" y="722086"/>
                </a:lnTo>
                <a:lnTo>
                  <a:pt x="2688771" y="620486"/>
                </a:lnTo>
                <a:lnTo>
                  <a:pt x="2699657" y="573314"/>
                </a:lnTo>
                <a:lnTo>
                  <a:pt x="2616200" y="475343"/>
                </a:lnTo>
                <a:lnTo>
                  <a:pt x="2569028" y="431800"/>
                </a:lnTo>
                <a:lnTo>
                  <a:pt x="2558142" y="431800"/>
                </a:lnTo>
                <a:lnTo>
                  <a:pt x="2590800" y="362857"/>
                </a:lnTo>
                <a:lnTo>
                  <a:pt x="2547257" y="283029"/>
                </a:lnTo>
                <a:lnTo>
                  <a:pt x="2550885" y="246743"/>
                </a:lnTo>
                <a:lnTo>
                  <a:pt x="2485571" y="232229"/>
                </a:lnTo>
                <a:lnTo>
                  <a:pt x="2405742" y="246743"/>
                </a:lnTo>
                <a:lnTo>
                  <a:pt x="2354942" y="286657"/>
                </a:lnTo>
                <a:lnTo>
                  <a:pt x="2296885" y="283029"/>
                </a:lnTo>
                <a:lnTo>
                  <a:pt x="2264228" y="359229"/>
                </a:lnTo>
                <a:lnTo>
                  <a:pt x="2286000" y="381000"/>
                </a:lnTo>
                <a:lnTo>
                  <a:pt x="2206171" y="453571"/>
                </a:lnTo>
                <a:lnTo>
                  <a:pt x="2129971" y="468086"/>
                </a:lnTo>
                <a:lnTo>
                  <a:pt x="2111828" y="464457"/>
                </a:lnTo>
                <a:lnTo>
                  <a:pt x="2119085" y="406400"/>
                </a:lnTo>
                <a:lnTo>
                  <a:pt x="2198914" y="351971"/>
                </a:lnTo>
                <a:lnTo>
                  <a:pt x="2198914" y="279400"/>
                </a:lnTo>
                <a:lnTo>
                  <a:pt x="2159000" y="246743"/>
                </a:lnTo>
                <a:close/>
              </a:path>
            </a:pathLst>
          </a:custGeom>
          <a:solidFill>
            <a:srgbClr val="3366FF"/>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24" name="Corse">
            <a:extLst>
              <a:ext uri="{FF2B5EF4-FFF2-40B4-BE49-F238E27FC236}">
                <a16:creationId xmlns:a16="http://schemas.microsoft.com/office/drawing/2014/main" id="{00000000-0008-0000-0100-000044010000}"/>
              </a:ext>
            </a:extLst>
          </xdr:cNvPr>
          <xdr:cNvSpPr/>
        </xdr:nvSpPr>
        <xdr:spPr>
          <a:xfrm>
            <a:off x="7848821" y="6922627"/>
            <a:ext cx="657095" cy="1253136"/>
          </a:xfrm>
          <a:custGeom>
            <a:avLst/>
            <a:gdLst>
              <a:gd name="connsiteX0" fmla="*/ 419100 w 595312"/>
              <a:gd name="connsiteY0" fmla="*/ 247650 h 1293018"/>
              <a:gd name="connsiteX1" fmla="*/ 414337 w 595312"/>
              <a:gd name="connsiteY1" fmla="*/ 26193 h 1293018"/>
              <a:gd name="connsiteX2" fmla="*/ 440531 w 595312"/>
              <a:gd name="connsiteY2" fmla="*/ 0 h 1293018"/>
              <a:gd name="connsiteX3" fmla="*/ 473868 w 595312"/>
              <a:gd name="connsiteY3" fmla="*/ 11906 h 1293018"/>
              <a:gd name="connsiteX4" fmla="*/ 502443 w 595312"/>
              <a:gd name="connsiteY4" fmla="*/ 130968 h 1293018"/>
              <a:gd name="connsiteX5" fmla="*/ 492918 w 595312"/>
              <a:gd name="connsiteY5" fmla="*/ 264318 h 1293018"/>
              <a:gd name="connsiteX6" fmla="*/ 547687 w 595312"/>
              <a:gd name="connsiteY6" fmla="*/ 338137 h 1293018"/>
              <a:gd name="connsiteX7" fmla="*/ 595312 w 595312"/>
              <a:gd name="connsiteY7" fmla="*/ 671512 h 1293018"/>
              <a:gd name="connsiteX8" fmla="*/ 521493 w 595312"/>
              <a:gd name="connsiteY8" fmla="*/ 828675 h 1293018"/>
              <a:gd name="connsiteX9" fmla="*/ 535781 w 595312"/>
              <a:gd name="connsiteY9" fmla="*/ 1012031 h 1293018"/>
              <a:gd name="connsiteX10" fmla="*/ 504825 w 595312"/>
              <a:gd name="connsiteY10" fmla="*/ 1078706 h 1293018"/>
              <a:gd name="connsiteX11" fmla="*/ 481012 w 595312"/>
              <a:gd name="connsiteY11" fmla="*/ 1102518 h 1293018"/>
              <a:gd name="connsiteX12" fmla="*/ 519112 w 595312"/>
              <a:gd name="connsiteY12" fmla="*/ 1109662 h 1293018"/>
              <a:gd name="connsiteX13" fmla="*/ 440531 w 595312"/>
              <a:gd name="connsiteY13" fmla="*/ 1293018 h 1293018"/>
              <a:gd name="connsiteX14" fmla="*/ 402431 w 595312"/>
              <a:gd name="connsiteY14" fmla="*/ 1278731 h 1293018"/>
              <a:gd name="connsiteX15" fmla="*/ 381000 w 595312"/>
              <a:gd name="connsiteY15" fmla="*/ 1240631 h 1293018"/>
              <a:gd name="connsiteX16" fmla="*/ 240506 w 595312"/>
              <a:gd name="connsiteY16" fmla="*/ 1197768 h 1293018"/>
              <a:gd name="connsiteX17" fmla="*/ 190500 w 595312"/>
              <a:gd name="connsiteY17" fmla="*/ 1143000 h 1293018"/>
              <a:gd name="connsiteX18" fmla="*/ 192881 w 595312"/>
              <a:gd name="connsiteY18" fmla="*/ 1107281 h 1293018"/>
              <a:gd name="connsiteX19" fmla="*/ 250031 w 595312"/>
              <a:gd name="connsiteY19" fmla="*/ 1059656 h 1293018"/>
              <a:gd name="connsiteX20" fmla="*/ 130968 w 595312"/>
              <a:gd name="connsiteY20" fmla="*/ 1040606 h 1293018"/>
              <a:gd name="connsiteX21" fmla="*/ 161925 w 595312"/>
              <a:gd name="connsiteY21" fmla="*/ 950118 h 1293018"/>
              <a:gd name="connsiteX22" fmla="*/ 150018 w 595312"/>
              <a:gd name="connsiteY22" fmla="*/ 878681 h 1293018"/>
              <a:gd name="connsiteX23" fmla="*/ 61912 w 595312"/>
              <a:gd name="connsiteY23" fmla="*/ 907256 h 1293018"/>
              <a:gd name="connsiteX24" fmla="*/ 97631 w 595312"/>
              <a:gd name="connsiteY24" fmla="*/ 795337 h 1293018"/>
              <a:gd name="connsiteX25" fmla="*/ 133350 w 595312"/>
              <a:gd name="connsiteY25" fmla="*/ 778668 h 1293018"/>
              <a:gd name="connsiteX26" fmla="*/ 33337 w 595312"/>
              <a:gd name="connsiteY26" fmla="*/ 728662 h 1293018"/>
              <a:gd name="connsiteX27" fmla="*/ 11906 w 595312"/>
              <a:gd name="connsiteY27" fmla="*/ 657225 h 1293018"/>
              <a:gd name="connsiteX28" fmla="*/ 85725 w 595312"/>
              <a:gd name="connsiteY28" fmla="*/ 602456 h 1293018"/>
              <a:gd name="connsiteX29" fmla="*/ 35718 w 595312"/>
              <a:gd name="connsiteY29" fmla="*/ 547687 h 1293018"/>
              <a:gd name="connsiteX30" fmla="*/ 0 w 595312"/>
              <a:gd name="connsiteY30" fmla="*/ 566737 h 1293018"/>
              <a:gd name="connsiteX31" fmla="*/ 4762 w 595312"/>
              <a:gd name="connsiteY31" fmla="*/ 531018 h 1293018"/>
              <a:gd name="connsiteX32" fmla="*/ 61912 w 595312"/>
              <a:gd name="connsiteY32" fmla="*/ 459581 h 1293018"/>
              <a:gd name="connsiteX33" fmla="*/ 57150 w 595312"/>
              <a:gd name="connsiteY33" fmla="*/ 416718 h 1293018"/>
              <a:gd name="connsiteX34" fmla="*/ 78581 w 595312"/>
              <a:gd name="connsiteY34" fmla="*/ 388143 h 1293018"/>
              <a:gd name="connsiteX35" fmla="*/ 119062 w 595312"/>
              <a:gd name="connsiteY35" fmla="*/ 381000 h 1293018"/>
              <a:gd name="connsiteX36" fmla="*/ 121443 w 595312"/>
              <a:gd name="connsiteY36" fmla="*/ 352425 h 1293018"/>
              <a:gd name="connsiteX37" fmla="*/ 259556 w 595312"/>
              <a:gd name="connsiteY37" fmla="*/ 292893 h 1293018"/>
              <a:gd name="connsiteX38" fmla="*/ 311943 w 595312"/>
              <a:gd name="connsiteY38" fmla="*/ 233362 h 1293018"/>
              <a:gd name="connsiteX39" fmla="*/ 419100 w 595312"/>
              <a:gd name="connsiteY39" fmla="*/ 247650 h 129301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Lst>
            <a:rect l="l" t="t" r="r" b="b"/>
            <a:pathLst>
              <a:path w="595312" h="1293018">
                <a:moveTo>
                  <a:pt x="419100" y="247650"/>
                </a:moveTo>
                <a:lnTo>
                  <a:pt x="414337" y="26193"/>
                </a:lnTo>
                <a:lnTo>
                  <a:pt x="440531" y="0"/>
                </a:lnTo>
                <a:lnTo>
                  <a:pt x="473868" y="11906"/>
                </a:lnTo>
                <a:lnTo>
                  <a:pt x="502443" y="130968"/>
                </a:lnTo>
                <a:lnTo>
                  <a:pt x="492918" y="264318"/>
                </a:lnTo>
                <a:lnTo>
                  <a:pt x="547687" y="338137"/>
                </a:lnTo>
                <a:lnTo>
                  <a:pt x="595312" y="671512"/>
                </a:lnTo>
                <a:lnTo>
                  <a:pt x="521493" y="828675"/>
                </a:lnTo>
                <a:lnTo>
                  <a:pt x="535781" y="1012031"/>
                </a:lnTo>
                <a:lnTo>
                  <a:pt x="504825" y="1078706"/>
                </a:lnTo>
                <a:lnTo>
                  <a:pt x="481012" y="1102518"/>
                </a:lnTo>
                <a:lnTo>
                  <a:pt x="519112" y="1109662"/>
                </a:lnTo>
                <a:lnTo>
                  <a:pt x="440531" y="1293018"/>
                </a:lnTo>
                <a:lnTo>
                  <a:pt x="402431" y="1278731"/>
                </a:lnTo>
                <a:lnTo>
                  <a:pt x="381000" y="1240631"/>
                </a:lnTo>
                <a:lnTo>
                  <a:pt x="240506" y="1197768"/>
                </a:lnTo>
                <a:lnTo>
                  <a:pt x="190500" y="1143000"/>
                </a:lnTo>
                <a:lnTo>
                  <a:pt x="192881" y="1107281"/>
                </a:lnTo>
                <a:lnTo>
                  <a:pt x="250031" y="1059656"/>
                </a:lnTo>
                <a:lnTo>
                  <a:pt x="130968" y="1040606"/>
                </a:lnTo>
                <a:lnTo>
                  <a:pt x="161925" y="950118"/>
                </a:lnTo>
                <a:lnTo>
                  <a:pt x="150018" y="878681"/>
                </a:lnTo>
                <a:lnTo>
                  <a:pt x="61912" y="907256"/>
                </a:lnTo>
                <a:lnTo>
                  <a:pt x="97631" y="795337"/>
                </a:lnTo>
                <a:lnTo>
                  <a:pt x="133350" y="778668"/>
                </a:lnTo>
                <a:lnTo>
                  <a:pt x="33337" y="728662"/>
                </a:lnTo>
                <a:lnTo>
                  <a:pt x="11906" y="657225"/>
                </a:lnTo>
                <a:lnTo>
                  <a:pt x="85725" y="602456"/>
                </a:lnTo>
                <a:lnTo>
                  <a:pt x="35718" y="547687"/>
                </a:lnTo>
                <a:lnTo>
                  <a:pt x="0" y="566737"/>
                </a:lnTo>
                <a:lnTo>
                  <a:pt x="4762" y="531018"/>
                </a:lnTo>
                <a:lnTo>
                  <a:pt x="61912" y="459581"/>
                </a:lnTo>
                <a:lnTo>
                  <a:pt x="57150" y="416718"/>
                </a:lnTo>
                <a:lnTo>
                  <a:pt x="78581" y="388143"/>
                </a:lnTo>
                <a:lnTo>
                  <a:pt x="119062" y="381000"/>
                </a:lnTo>
                <a:lnTo>
                  <a:pt x="121443" y="352425"/>
                </a:lnTo>
                <a:lnTo>
                  <a:pt x="259556" y="292893"/>
                </a:lnTo>
                <a:lnTo>
                  <a:pt x="311943" y="233362"/>
                </a:lnTo>
                <a:lnTo>
                  <a:pt x="419100" y="247650"/>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25" name="Provence_Alpes_Côte_dAzur">
            <a:extLst>
              <a:ext uri="{FF2B5EF4-FFF2-40B4-BE49-F238E27FC236}">
                <a16:creationId xmlns:a16="http://schemas.microsoft.com/office/drawing/2014/main" id="{00000000-0008-0000-0100-000045010000}"/>
              </a:ext>
            </a:extLst>
          </xdr:cNvPr>
          <xdr:cNvSpPr/>
        </xdr:nvSpPr>
        <xdr:spPr>
          <a:xfrm>
            <a:off x="6127856" y="5708239"/>
            <a:ext cx="2138752" cy="1602566"/>
          </a:xfrm>
          <a:custGeom>
            <a:avLst/>
            <a:gdLst>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689428 w 1944914"/>
              <a:gd name="connsiteY18" fmla="*/ 518886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45885 w 1944914"/>
              <a:gd name="connsiteY25" fmla="*/ 787400 h 1636486"/>
              <a:gd name="connsiteX26" fmla="*/ 631371 w 1944914"/>
              <a:gd name="connsiteY26" fmla="*/ 751114 h 1636486"/>
              <a:gd name="connsiteX27" fmla="*/ 515257 w 1944914"/>
              <a:gd name="connsiteY27" fmla="*/ 740228 h 1636486"/>
              <a:gd name="connsiteX28" fmla="*/ 515257 w 1944914"/>
              <a:gd name="connsiteY28" fmla="*/ 664028 h 1636486"/>
              <a:gd name="connsiteX29" fmla="*/ 482600 w 1944914"/>
              <a:gd name="connsiteY29" fmla="*/ 685800 h 1636486"/>
              <a:gd name="connsiteX30" fmla="*/ 435428 w 1944914"/>
              <a:gd name="connsiteY30" fmla="*/ 667657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24971 w 1944914"/>
              <a:gd name="connsiteY35" fmla="*/ 703943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689428 w 1944914"/>
              <a:gd name="connsiteY18" fmla="*/ 518886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45885 w 1944914"/>
              <a:gd name="connsiteY25" fmla="*/ 787400 h 1636486"/>
              <a:gd name="connsiteX26" fmla="*/ 631371 w 1944914"/>
              <a:gd name="connsiteY26" fmla="*/ 751114 h 1636486"/>
              <a:gd name="connsiteX27" fmla="*/ 515257 w 1944914"/>
              <a:gd name="connsiteY27" fmla="*/ 740228 h 1636486"/>
              <a:gd name="connsiteX28" fmla="*/ 515257 w 1944914"/>
              <a:gd name="connsiteY28" fmla="*/ 664028 h 1636486"/>
              <a:gd name="connsiteX29" fmla="*/ 482600 w 1944914"/>
              <a:gd name="connsiteY29" fmla="*/ 685800 h 1636486"/>
              <a:gd name="connsiteX30" fmla="*/ 435428 w 1944914"/>
              <a:gd name="connsiteY30" fmla="*/ 667657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24971 w 1944914"/>
              <a:gd name="connsiteY35" fmla="*/ 703943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98" fmla="*/ 1295400 w 1944914"/>
              <a:gd name="connsiteY98" fmla="*/ 3628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689428 w 1944914"/>
              <a:gd name="connsiteY18" fmla="*/ 518886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45885 w 1944914"/>
              <a:gd name="connsiteY25" fmla="*/ 787400 h 1636486"/>
              <a:gd name="connsiteX26" fmla="*/ 631371 w 1944914"/>
              <a:gd name="connsiteY26" fmla="*/ 751114 h 1636486"/>
              <a:gd name="connsiteX27" fmla="*/ 527934 w 1944914"/>
              <a:gd name="connsiteY27" fmla="*/ 740228 h 1636486"/>
              <a:gd name="connsiteX28" fmla="*/ 515257 w 1944914"/>
              <a:gd name="connsiteY28" fmla="*/ 664028 h 1636486"/>
              <a:gd name="connsiteX29" fmla="*/ 482600 w 1944914"/>
              <a:gd name="connsiteY29" fmla="*/ 685800 h 1636486"/>
              <a:gd name="connsiteX30" fmla="*/ 435428 w 1944914"/>
              <a:gd name="connsiteY30" fmla="*/ 667657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24971 w 1944914"/>
              <a:gd name="connsiteY35" fmla="*/ 703943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98" fmla="*/ 1295400 w 1944914"/>
              <a:gd name="connsiteY98" fmla="*/ 3628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689428 w 1944914"/>
              <a:gd name="connsiteY18" fmla="*/ 518886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45885 w 1944914"/>
              <a:gd name="connsiteY25" fmla="*/ 787400 h 1636486"/>
              <a:gd name="connsiteX26" fmla="*/ 631371 w 1944914"/>
              <a:gd name="connsiteY26" fmla="*/ 751114 h 1636486"/>
              <a:gd name="connsiteX27" fmla="*/ 527934 w 1944914"/>
              <a:gd name="connsiteY27" fmla="*/ 740228 h 1636486"/>
              <a:gd name="connsiteX28" fmla="*/ 532159 w 1944914"/>
              <a:gd name="connsiteY28" fmla="*/ 659809 h 1636486"/>
              <a:gd name="connsiteX29" fmla="*/ 482600 w 1944914"/>
              <a:gd name="connsiteY29" fmla="*/ 685800 h 1636486"/>
              <a:gd name="connsiteX30" fmla="*/ 435428 w 1944914"/>
              <a:gd name="connsiteY30" fmla="*/ 667657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24971 w 1944914"/>
              <a:gd name="connsiteY35" fmla="*/ 703943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98" fmla="*/ 1295400 w 1944914"/>
              <a:gd name="connsiteY98" fmla="*/ 3628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689428 w 1944914"/>
              <a:gd name="connsiteY18" fmla="*/ 518886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50111 w 1944914"/>
              <a:gd name="connsiteY25" fmla="*/ 770524 h 1636486"/>
              <a:gd name="connsiteX26" fmla="*/ 631371 w 1944914"/>
              <a:gd name="connsiteY26" fmla="*/ 751114 h 1636486"/>
              <a:gd name="connsiteX27" fmla="*/ 527934 w 1944914"/>
              <a:gd name="connsiteY27" fmla="*/ 740228 h 1636486"/>
              <a:gd name="connsiteX28" fmla="*/ 532159 w 1944914"/>
              <a:gd name="connsiteY28" fmla="*/ 659809 h 1636486"/>
              <a:gd name="connsiteX29" fmla="*/ 482600 w 1944914"/>
              <a:gd name="connsiteY29" fmla="*/ 685800 h 1636486"/>
              <a:gd name="connsiteX30" fmla="*/ 435428 w 1944914"/>
              <a:gd name="connsiteY30" fmla="*/ 667657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24971 w 1944914"/>
              <a:gd name="connsiteY35" fmla="*/ 703943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98" fmla="*/ 1295400 w 1944914"/>
              <a:gd name="connsiteY98" fmla="*/ 3628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706331 w 1944914"/>
              <a:gd name="connsiteY18" fmla="*/ 497792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50111 w 1944914"/>
              <a:gd name="connsiteY25" fmla="*/ 770524 h 1636486"/>
              <a:gd name="connsiteX26" fmla="*/ 631371 w 1944914"/>
              <a:gd name="connsiteY26" fmla="*/ 751114 h 1636486"/>
              <a:gd name="connsiteX27" fmla="*/ 527934 w 1944914"/>
              <a:gd name="connsiteY27" fmla="*/ 740228 h 1636486"/>
              <a:gd name="connsiteX28" fmla="*/ 532159 w 1944914"/>
              <a:gd name="connsiteY28" fmla="*/ 659809 h 1636486"/>
              <a:gd name="connsiteX29" fmla="*/ 482600 w 1944914"/>
              <a:gd name="connsiteY29" fmla="*/ 685800 h 1636486"/>
              <a:gd name="connsiteX30" fmla="*/ 435428 w 1944914"/>
              <a:gd name="connsiteY30" fmla="*/ 667657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24971 w 1944914"/>
              <a:gd name="connsiteY35" fmla="*/ 703943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98" fmla="*/ 1295400 w 1944914"/>
              <a:gd name="connsiteY98" fmla="*/ 3628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706331 w 1944914"/>
              <a:gd name="connsiteY18" fmla="*/ 497792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50111 w 1944914"/>
              <a:gd name="connsiteY25" fmla="*/ 770524 h 1636486"/>
              <a:gd name="connsiteX26" fmla="*/ 627144 w 1944914"/>
              <a:gd name="connsiteY26" fmla="*/ 738458 h 1636486"/>
              <a:gd name="connsiteX27" fmla="*/ 527934 w 1944914"/>
              <a:gd name="connsiteY27" fmla="*/ 740228 h 1636486"/>
              <a:gd name="connsiteX28" fmla="*/ 532159 w 1944914"/>
              <a:gd name="connsiteY28" fmla="*/ 659809 h 1636486"/>
              <a:gd name="connsiteX29" fmla="*/ 482600 w 1944914"/>
              <a:gd name="connsiteY29" fmla="*/ 685800 h 1636486"/>
              <a:gd name="connsiteX30" fmla="*/ 435428 w 1944914"/>
              <a:gd name="connsiteY30" fmla="*/ 667657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24971 w 1944914"/>
              <a:gd name="connsiteY35" fmla="*/ 703943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98" fmla="*/ 1295400 w 1944914"/>
              <a:gd name="connsiteY98" fmla="*/ 3628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706331 w 1944914"/>
              <a:gd name="connsiteY18" fmla="*/ 497792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50111 w 1944914"/>
              <a:gd name="connsiteY25" fmla="*/ 770524 h 1636486"/>
              <a:gd name="connsiteX26" fmla="*/ 627144 w 1944914"/>
              <a:gd name="connsiteY26" fmla="*/ 738458 h 1636486"/>
              <a:gd name="connsiteX27" fmla="*/ 527934 w 1944914"/>
              <a:gd name="connsiteY27" fmla="*/ 740228 h 1636486"/>
              <a:gd name="connsiteX28" fmla="*/ 532159 w 1944914"/>
              <a:gd name="connsiteY28" fmla="*/ 659809 h 1636486"/>
              <a:gd name="connsiteX29" fmla="*/ 482600 w 1944914"/>
              <a:gd name="connsiteY29" fmla="*/ 685800 h 1636486"/>
              <a:gd name="connsiteX30" fmla="*/ 456556 w 1944914"/>
              <a:gd name="connsiteY30" fmla="*/ 655001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24971 w 1944914"/>
              <a:gd name="connsiteY35" fmla="*/ 703943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98" fmla="*/ 1295400 w 1944914"/>
              <a:gd name="connsiteY98" fmla="*/ 3628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706331 w 1944914"/>
              <a:gd name="connsiteY18" fmla="*/ 497792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50111 w 1944914"/>
              <a:gd name="connsiteY25" fmla="*/ 770524 h 1636486"/>
              <a:gd name="connsiteX26" fmla="*/ 627144 w 1944914"/>
              <a:gd name="connsiteY26" fmla="*/ 738458 h 1636486"/>
              <a:gd name="connsiteX27" fmla="*/ 527934 w 1944914"/>
              <a:gd name="connsiteY27" fmla="*/ 740228 h 1636486"/>
              <a:gd name="connsiteX28" fmla="*/ 532159 w 1944914"/>
              <a:gd name="connsiteY28" fmla="*/ 659809 h 1636486"/>
              <a:gd name="connsiteX29" fmla="*/ 482600 w 1944914"/>
              <a:gd name="connsiteY29" fmla="*/ 685800 h 1636486"/>
              <a:gd name="connsiteX30" fmla="*/ 456556 w 1944914"/>
              <a:gd name="connsiteY30" fmla="*/ 655001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16519 w 1944914"/>
              <a:gd name="connsiteY35" fmla="*/ 682849 h 1636486"/>
              <a:gd name="connsiteX36" fmla="*/ 246743 w 1944914"/>
              <a:gd name="connsiteY36" fmla="*/ 747486 h 1636486"/>
              <a:gd name="connsiteX37" fmla="*/ 250371 w 1944914"/>
              <a:gd name="connsiteY37" fmla="*/ 830943 h 1636486"/>
              <a:gd name="connsiteX38" fmla="*/ 330200 w 1944914"/>
              <a:gd name="connsiteY38" fmla="*/ 907143 h 1636486"/>
              <a:gd name="connsiteX39" fmla="*/ 221343 w 1944914"/>
              <a:gd name="connsiteY39" fmla="*/ 1030514 h 1636486"/>
              <a:gd name="connsiteX40" fmla="*/ 199571 w 1944914"/>
              <a:gd name="connsiteY40" fmla="*/ 1157514 h 1636486"/>
              <a:gd name="connsiteX41" fmla="*/ 163285 w 1944914"/>
              <a:gd name="connsiteY41" fmla="*/ 1150257 h 1636486"/>
              <a:gd name="connsiteX42" fmla="*/ 105228 w 1944914"/>
              <a:gd name="connsiteY42" fmla="*/ 1211943 h 1636486"/>
              <a:gd name="connsiteX43" fmla="*/ 119743 w 1944914"/>
              <a:gd name="connsiteY43" fmla="*/ 1237343 h 1636486"/>
              <a:gd name="connsiteX44" fmla="*/ 47171 w 1944914"/>
              <a:gd name="connsiteY44" fmla="*/ 1262743 h 1636486"/>
              <a:gd name="connsiteX45" fmla="*/ 0 w 1944914"/>
              <a:gd name="connsiteY45" fmla="*/ 1335314 h 1636486"/>
              <a:gd name="connsiteX46" fmla="*/ 177800 w 1944914"/>
              <a:gd name="connsiteY46" fmla="*/ 1342571 h 1636486"/>
              <a:gd name="connsiteX47" fmla="*/ 210457 w 1944914"/>
              <a:gd name="connsiteY47" fmla="*/ 1371600 h 1636486"/>
              <a:gd name="connsiteX48" fmla="*/ 203200 w 1944914"/>
              <a:gd name="connsiteY48" fmla="*/ 1411514 h 1636486"/>
              <a:gd name="connsiteX49" fmla="*/ 243114 w 1944914"/>
              <a:gd name="connsiteY49" fmla="*/ 1422400 h 1636486"/>
              <a:gd name="connsiteX50" fmla="*/ 366485 w 1944914"/>
              <a:gd name="connsiteY50" fmla="*/ 1407886 h 1636486"/>
              <a:gd name="connsiteX51" fmla="*/ 344714 w 1944914"/>
              <a:gd name="connsiteY51" fmla="*/ 1378857 h 1636486"/>
              <a:gd name="connsiteX52" fmla="*/ 362857 w 1944914"/>
              <a:gd name="connsiteY52" fmla="*/ 1342571 h 1636486"/>
              <a:gd name="connsiteX53" fmla="*/ 399143 w 1944914"/>
              <a:gd name="connsiteY53" fmla="*/ 1349828 h 1636486"/>
              <a:gd name="connsiteX54" fmla="*/ 449943 w 1944914"/>
              <a:gd name="connsiteY54" fmla="*/ 1415143 h 1636486"/>
              <a:gd name="connsiteX55" fmla="*/ 624114 w 1944914"/>
              <a:gd name="connsiteY55" fmla="*/ 1400628 h 1636486"/>
              <a:gd name="connsiteX56" fmla="*/ 664028 w 1944914"/>
              <a:gd name="connsiteY56" fmla="*/ 1505857 h 1636486"/>
              <a:gd name="connsiteX57" fmla="*/ 787400 w 1944914"/>
              <a:gd name="connsiteY57" fmla="*/ 1542143 h 1636486"/>
              <a:gd name="connsiteX58" fmla="*/ 830943 w 1944914"/>
              <a:gd name="connsiteY58" fmla="*/ 1531257 h 1636486"/>
              <a:gd name="connsiteX59" fmla="*/ 903514 w 1944914"/>
              <a:gd name="connsiteY59" fmla="*/ 1571171 h 1636486"/>
              <a:gd name="connsiteX60" fmla="*/ 907143 w 1944914"/>
              <a:gd name="connsiteY60" fmla="*/ 1614714 h 1636486"/>
              <a:gd name="connsiteX61" fmla="*/ 1008743 w 1944914"/>
              <a:gd name="connsiteY61" fmla="*/ 1578428 h 1636486"/>
              <a:gd name="connsiteX62" fmla="*/ 1095828 w 1944914"/>
              <a:gd name="connsiteY62" fmla="*/ 1592943 h 1636486"/>
              <a:gd name="connsiteX63" fmla="*/ 1103085 w 1944914"/>
              <a:gd name="connsiteY63" fmla="*/ 1636486 h 1636486"/>
              <a:gd name="connsiteX64" fmla="*/ 1132114 w 1944914"/>
              <a:gd name="connsiteY64" fmla="*/ 1560286 h 1636486"/>
              <a:gd name="connsiteX65" fmla="*/ 1222828 w 1944914"/>
              <a:gd name="connsiteY65" fmla="*/ 1585686 h 1636486"/>
              <a:gd name="connsiteX66" fmla="*/ 1230085 w 1944914"/>
              <a:gd name="connsiteY66" fmla="*/ 1542143 h 1636486"/>
              <a:gd name="connsiteX67" fmla="*/ 1291771 w 1944914"/>
              <a:gd name="connsiteY67" fmla="*/ 1531257 h 1636486"/>
              <a:gd name="connsiteX68" fmla="*/ 1342571 w 1944914"/>
              <a:gd name="connsiteY68" fmla="*/ 1494971 h 1636486"/>
              <a:gd name="connsiteX69" fmla="*/ 1386114 w 1944914"/>
              <a:gd name="connsiteY69" fmla="*/ 1502228 h 1636486"/>
              <a:gd name="connsiteX70" fmla="*/ 1400628 w 1944914"/>
              <a:gd name="connsiteY70" fmla="*/ 1429657 h 1636486"/>
              <a:gd name="connsiteX71" fmla="*/ 1371600 w 1944914"/>
              <a:gd name="connsiteY71" fmla="*/ 1407886 h 1636486"/>
              <a:gd name="connsiteX72" fmla="*/ 1447800 w 1944914"/>
              <a:gd name="connsiteY72" fmla="*/ 1306286 h 1636486"/>
              <a:gd name="connsiteX73" fmla="*/ 1509485 w 1944914"/>
              <a:gd name="connsiteY73" fmla="*/ 1306286 h 1636486"/>
              <a:gd name="connsiteX74" fmla="*/ 1563914 w 1944914"/>
              <a:gd name="connsiteY74" fmla="*/ 1201057 h 1636486"/>
              <a:gd name="connsiteX75" fmla="*/ 1636485 w 1944914"/>
              <a:gd name="connsiteY75" fmla="*/ 1172028 h 1636486"/>
              <a:gd name="connsiteX76" fmla="*/ 1651000 w 1944914"/>
              <a:gd name="connsiteY76" fmla="*/ 1110343 h 1636486"/>
              <a:gd name="connsiteX77" fmla="*/ 1836057 w 1944914"/>
              <a:gd name="connsiteY77" fmla="*/ 1019628 h 1636486"/>
              <a:gd name="connsiteX78" fmla="*/ 1843314 w 1944914"/>
              <a:gd name="connsiteY78" fmla="*/ 925286 h 1636486"/>
              <a:gd name="connsiteX79" fmla="*/ 1926771 w 1944914"/>
              <a:gd name="connsiteY79" fmla="*/ 809171 h 1636486"/>
              <a:gd name="connsiteX80" fmla="*/ 1944914 w 1944914"/>
              <a:gd name="connsiteY80" fmla="*/ 765628 h 1636486"/>
              <a:gd name="connsiteX81" fmla="*/ 1897743 w 1944914"/>
              <a:gd name="connsiteY81" fmla="*/ 703943 h 1636486"/>
              <a:gd name="connsiteX82" fmla="*/ 1886857 w 1944914"/>
              <a:gd name="connsiteY82" fmla="*/ 696686 h 1636486"/>
              <a:gd name="connsiteX83" fmla="*/ 1741714 w 1944914"/>
              <a:gd name="connsiteY83" fmla="*/ 747486 h 1636486"/>
              <a:gd name="connsiteX84" fmla="*/ 1621971 w 1944914"/>
              <a:gd name="connsiteY84" fmla="*/ 689428 h 1636486"/>
              <a:gd name="connsiteX85" fmla="*/ 1556657 w 1944914"/>
              <a:gd name="connsiteY85" fmla="*/ 671286 h 1636486"/>
              <a:gd name="connsiteX86" fmla="*/ 1469571 w 1944914"/>
              <a:gd name="connsiteY86" fmla="*/ 580571 h 1636486"/>
              <a:gd name="connsiteX87" fmla="*/ 1491343 w 1944914"/>
              <a:gd name="connsiteY87" fmla="*/ 518886 h 1636486"/>
              <a:gd name="connsiteX88" fmla="*/ 1440543 w 1944914"/>
              <a:gd name="connsiteY88" fmla="*/ 453571 h 1636486"/>
              <a:gd name="connsiteX89" fmla="*/ 1469571 w 1944914"/>
              <a:gd name="connsiteY89" fmla="*/ 424543 h 1636486"/>
              <a:gd name="connsiteX90" fmla="*/ 1487714 w 1944914"/>
              <a:gd name="connsiteY90" fmla="*/ 366486 h 1636486"/>
              <a:gd name="connsiteX91" fmla="*/ 1505857 w 1944914"/>
              <a:gd name="connsiteY91" fmla="*/ 322943 h 1636486"/>
              <a:gd name="connsiteX92" fmla="*/ 1556657 w 1944914"/>
              <a:gd name="connsiteY92" fmla="*/ 315686 h 1636486"/>
              <a:gd name="connsiteX93" fmla="*/ 1505857 w 1944914"/>
              <a:gd name="connsiteY93" fmla="*/ 203200 h 1636486"/>
              <a:gd name="connsiteX94" fmla="*/ 1433285 w 1944914"/>
              <a:gd name="connsiteY94" fmla="*/ 203200 h 1636486"/>
              <a:gd name="connsiteX95" fmla="*/ 1367971 w 1944914"/>
              <a:gd name="connsiteY95" fmla="*/ 156028 h 1636486"/>
              <a:gd name="connsiteX96" fmla="*/ 1357085 w 1944914"/>
              <a:gd name="connsiteY96" fmla="*/ 68943 h 1636486"/>
              <a:gd name="connsiteX97" fmla="*/ 1324428 w 1944914"/>
              <a:gd name="connsiteY97" fmla="*/ 68943 h 1636486"/>
              <a:gd name="connsiteX98" fmla="*/ 1295400 w 1944914"/>
              <a:gd name="connsiteY98" fmla="*/ 3628 h 1636486"/>
              <a:gd name="connsiteX0" fmla="*/ 1295400 w 1944914"/>
              <a:gd name="connsiteY0" fmla="*/ 3628 h 1636486"/>
              <a:gd name="connsiteX1" fmla="*/ 1226457 w 1944914"/>
              <a:gd name="connsiteY1" fmla="*/ 10886 h 1636486"/>
              <a:gd name="connsiteX2" fmla="*/ 1201057 w 1944914"/>
              <a:gd name="connsiteY2" fmla="*/ 50800 h 1636486"/>
              <a:gd name="connsiteX3" fmla="*/ 1103085 w 1944914"/>
              <a:gd name="connsiteY3" fmla="*/ 0 h 1636486"/>
              <a:gd name="connsiteX4" fmla="*/ 1084943 w 1944914"/>
              <a:gd name="connsiteY4" fmla="*/ 39914 h 1636486"/>
              <a:gd name="connsiteX5" fmla="*/ 1081314 w 1944914"/>
              <a:gd name="connsiteY5" fmla="*/ 50800 h 1636486"/>
              <a:gd name="connsiteX6" fmla="*/ 1095828 w 1944914"/>
              <a:gd name="connsiteY6" fmla="*/ 101600 h 1636486"/>
              <a:gd name="connsiteX7" fmla="*/ 1157514 w 1944914"/>
              <a:gd name="connsiteY7" fmla="*/ 127000 h 1636486"/>
              <a:gd name="connsiteX8" fmla="*/ 1146628 w 1944914"/>
              <a:gd name="connsiteY8" fmla="*/ 221343 h 1636486"/>
              <a:gd name="connsiteX9" fmla="*/ 1103085 w 1944914"/>
              <a:gd name="connsiteY9" fmla="*/ 203200 h 1636486"/>
              <a:gd name="connsiteX10" fmla="*/ 954314 w 1944914"/>
              <a:gd name="connsiteY10" fmla="*/ 239486 h 1636486"/>
              <a:gd name="connsiteX11" fmla="*/ 925285 w 1944914"/>
              <a:gd name="connsiteY11" fmla="*/ 286657 h 1636486"/>
              <a:gd name="connsiteX12" fmla="*/ 867228 w 1944914"/>
              <a:gd name="connsiteY12" fmla="*/ 297543 h 1636486"/>
              <a:gd name="connsiteX13" fmla="*/ 852714 w 1944914"/>
              <a:gd name="connsiteY13" fmla="*/ 373743 h 1636486"/>
              <a:gd name="connsiteX14" fmla="*/ 783771 w 1944914"/>
              <a:gd name="connsiteY14" fmla="*/ 377371 h 1636486"/>
              <a:gd name="connsiteX15" fmla="*/ 747485 w 1944914"/>
              <a:gd name="connsiteY15" fmla="*/ 475343 h 1636486"/>
              <a:gd name="connsiteX16" fmla="*/ 776514 w 1944914"/>
              <a:gd name="connsiteY16" fmla="*/ 493486 h 1636486"/>
              <a:gd name="connsiteX17" fmla="*/ 747485 w 1944914"/>
              <a:gd name="connsiteY17" fmla="*/ 533400 h 1636486"/>
              <a:gd name="connsiteX18" fmla="*/ 706331 w 1944914"/>
              <a:gd name="connsiteY18" fmla="*/ 497792 h 1636486"/>
              <a:gd name="connsiteX19" fmla="*/ 660400 w 1944914"/>
              <a:gd name="connsiteY19" fmla="*/ 576943 h 1636486"/>
              <a:gd name="connsiteX20" fmla="*/ 678543 w 1944914"/>
              <a:gd name="connsiteY20" fmla="*/ 613228 h 1636486"/>
              <a:gd name="connsiteX21" fmla="*/ 801914 w 1944914"/>
              <a:gd name="connsiteY21" fmla="*/ 682171 h 1636486"/>
              <a:gd name="connsiteX22" fmla="*/ 794657 w 1944914"/>
              <a:gd name="connsiteY22" fmla="*/ 736600 h 1636486"/>
              <a:gd name="connsiteX23" fmla="*/ 758371 w 1944914"/>
              <a:gd name="connsiteY23" fmla="*/ 747486 h 1636486"/>
              <a:gd name="connsiteX24" fmla="*/ 703943 w 1944914"/>
              <a:gd name="connsiteY24" fmla="*/ 809171 h 1636486"/>
              <a:gd name="connsiteX25" fmla="*/ 650111 w 1944914"/>
              <a:gd name="connsiteY25" fmla="*/ 770524 h 1636486"/>
              <a:gd name="connsiteX26" fmla="*/ 627144 w 1944914"/>
              <a:gd name="connsiteY26" fmla="*/ 738458 h 1636486"/>
              <a:gd name="connsiteX27" fmla="*/ 527934 w 1944914"/>
              <a:gd name="connsiteY27" fmla="*/ 740228 h 1636486"/>
              <a:gd name="connsiteX28" fmla="*/ 532159 w 1944914"/>
              <a:gd name="connsiteY28" fmla="*/ 659809 h 1636486"/>
              <a:gd name="connsiteX29" fmla="*/ 482600 w 1944914"/>
              <a:gd name="connsiteY29" fmla="*/ 685800 h 1636486"/>
              <a:gd name="connsiteX30" fmla="*/ 456556 w 1944914"/>
              <a:gd name="connsiteY30" fmla="*/ 655001 h 1636486"/>
              <a:gd name="connsiteX31" fmla="*/ 344714 w 1944914"/>
              <a:gd name="connsiteY31" fmla="*/ 714828 h 1636486"/>
              <a:gd name="connsiteX32" fmla="*/ 341085 w 1944914"/>
              <a:gd name="connsiteY32" fmla="*/ 718457 h 1636486"/>
              <a:gd name="connsiteX33" fmla="*/ 301171 w 1944914"/>
              <a:gd name="connsiteY33" fmla="*/ 667657 h 1636486"/>
              <a:gd name="connsiteX34" fmla="*/ 228600 w 1944914"/>
              <a:gd name="connsiteY34" fmla="*/ 660400 h 1636486"/>
              <a:gd name="connsiteX35" fmla="*/ 246743 w 1944914"/>
              <a:gd name="connsiteY35" fmla="*/ 747486 h 1636486"/>
              <a:gd name="connsiteX36" fmla="*/ 250371 w 1944914"/>
              <a:gd name="connsiteY36" fmla="*/ 830943 h 1636486"/>
              <a:gd name="connsiteX37" fmla="*/ 330200 w 1944914"/>
              <a:gd name="connsiteY37" fmla="*/ 907143 h 1636486"/>
              <a:gd name="connsiteX38" fmla="*/ 221343 w 1944914"/>
              <a:gd name="connsiteY38" fmla="*/ 1030514 h 1636486"/>
              <a:gd name="connsiteX39" fmla="*/ 199571 w 1944914"/>
              <a:gd name="connsiteY39" fmla="*/ 1157514 h 1636486"/>
              <a:gd name="connsiteX40" fmla="*/ 163285 w 1944914"/>
              <a:gd name="connsiteY40" fmla="*/ 1150257 h 1636486"/>
              <a:gd name="connsiteX41" fmla="*/ 105228 w 1944914"/>
              <a:gd name="connsiteY41" fmla="*/ 1211943 h 1636486"/>
              <a:gd name="connsiteX42" fmla="*/ 119743 w 1944914"/>
              <a:gd name="connsiteY42" fmla="*/ 1237343 h 1636486"/>
              <a:gd name="connsiteX43" fmla="*/ 47171 w 1944914"/>
              <a:gd name="connsiteY43" fmla="*/ 1262743 h 1636486"/>
              <a:gd name="connsiteX44" fmla="*/ 0 w 1944914"/>
              <a:gd name="connsiteY44" fmla="*/ 1335314 h 1636486"/>
              <a:gd name="connsiteX45" fmla="*/ 177800 w 1944914"/>
              <a:gd name="connsiteY45" fmla="*/ 1342571 h 1636486"/>
              <a:gd name="connsiteX46" fmla="*/ 210457 w 1944914"/>
              <a:gd name="connsiteY46" fmla="*/ 1371600 h 1636486"/>
              <a:gd name="connsiteX47" fmla="*/ 203200 w 1944914"/>
              <a:gd name="connsiteY47" fmla="*/ 1411514 h 1636486"/>
              <a:gd name="connsiteX48" fmla="*/ 243114 w 1944914"/>
              <a:gd name="connsiteY48" fmla="*/ 1422400 h 1636486"/>
              <a:gd name="connsiteX49" fmla="*/ 366485 w 1944914"/>
              <a:gd name="connsiteY49" fmla="*/ 1407886 h 1636486"/>
              <a:gd name="connsiteX50" fmla="*/ 344714 w 1944914"/>
              <a:gd name="connsiteY50" fmla="*/ 1378857 h 1636486"/>
              <a:gd name="connsiteX51" fmla="*/ 362857 w 1944914"/>
              <a:gd name="connsiteY51" fmla="*/ 1342571 h 1636486"/>
              <a:gd name="connsiteX52" fmla="*/ 399143 w 1944914"/>
              <a:gd name="connsiteY52" fmla="*/ 1349828 h 1636486"/>
              <a:gd name="connsiteX53" fmla="*/ 449943 w 1944914"/>
              <a:gd name="connsiteY53" fmla="*/ 1415143 h 1636486"/>
              <a:gd name="connsiteX54" fmla="*/ 624114 w 1944914"/>
              <a:gd name="connsiteY54" fmla="*/ 1400628 h 1636486"/>
              <a:gd name="connsiteX55" fmla="*/ 664028 w 1944914"/>
              <a:gd name="connsiteY55" fmla="*/ 1505857 h 1636486"/>
              <a:gd name="connsiteX56" fmla="*/ 787400 w 1944914"/>
              <a:gd name="connsiteY56" fmla="*/ 1542143 h 1636486"/>
              <a:gd name="connsiteX57" fmla="*/ 830943 w 1944914"/>
              <a:gd name="connsiteY57" fmla="*/ 1531257 h 1636486"/>
              <a:gd name="connsiteX58" fmla="*/ 903514 w 1944914"/>
              <a:gd name="connsiteY58" fmla="*/ 1571171 h 1636486"/>
              <a:gd name="connsiteX59" fmla="*/ 907143 w 1944914"/>
              <a:gd name="connsiteY59" fmla="*/ 1614714 h 1636486"/>
              <a:gd name="connsiteX60" fmla="*/ 1008743 w 1944914"/>
              <a:gd name="connsiteY60" fmla="*/ 1578428 h 1636486"/>
              <a:gd name="connsiteX61" fmla="*/ 1095828 w 1944914"/>
              <a:gd name="connsiteY61" fmla="*/ 1592943 h 1636486"/>
              <a:gd name="connsiteX62" fmla="*/ 1103085 w 1944914"/>
              <a:gd name="connsiteY62" fmla="*/ 1636486 h 1636486"/>
              <a:gd name="connsiteX63" fmla="*/ 1132114 w 1944914"/>
              <a:gd name="connsiteY63" fmla="*/ 1560286 h 1636486"/>
              <a:gd name="connsiteX64" fmla="*/ 1222828 w 1944914"/>
              <a:gd name="connsiteY64" fmla="*/ 1585686 h 1636486"/>
              <a:gd name="connsiteX65" fmla="*/ 1230085 w 1944914"/>
              <a:gd name="connsiteY65" fmla="*/ 1542143 h 1636486"/>
              <a:gd name="connsiteX66" fmla="*/ 1291771 w 1944914"/>
              <a:gd name="connsiteY66" fmla="*/ 1531257 h 1636486"/>
              <a:gd name="connsiteX67" fmla="*/ 1342571 w 1944914"/>
              <a:gd name="connsiteY67" fmla="*/ 1494971 h 1636486"/>
              <a:gd name="connsiteX68" fmla="*/ 1386114 w 1944914"/>
              <a:gd name="connsiteY68" fmla="*/ 1502228 h 1636486"/>
              <a:gd name="connsiteX69" fmla="*/ 1400628 w 1944914"/>
              <a:gd name="connsiteY69" fmla="*/ 1429657 h 1636486"/>
              <a:gd name="connsiteX70" fmla="*/ 1371600 w 1944914"/>
              <a:gd name="connsiteY70" fmla="*/ 1407886 h 1636486"/>
              <a:gd name="connsiteX71" fmla="*/ 1447800 w 1944914"/>
              <a:gd name="connsiteY71" fmla="*/ 1306286 h 1636486"/>
              <a:gd name="connsiteX72" fmla="*/ 1509485 w 1944914"/>
              <a:gd name="connsiteY72" fmla="*/ 1306286 h 1636486"/>
              <a:gd name="connsiteX73" fmla="*/ 1563914 w 1944914"/>
              <a:gd name="connsiteY73" fmla="*/ 1201057 h 1636486"/>
              <a:gd name="connsiteX74" fmla="*/ 1636485 w 1944914"/>
              <a:gd name="connsiteY74" fmla="*/ 1172028 h 1636486"/>
              <a:gd name="connsiteX75" fmla="*/ 1651000 w 1944914"/>
              <a:gd name="connsiteY75" fmla="*/ 1110343 h 1636486"/>
              <a:gd name="connsiteX76" fmla="*/ 1836057 w 1944914"/>
              <a:gd name="connsiteY76" fmla="*/ 1019628 h 1636486"/>
              <a:gd name="connsiteX77" fmla="*/ 1843314 w 1944914"/>
              <a:gd name="connsiteY77" fmla="*/ 925286 h 1636486"/>
              <a:gd name="connsiteX78" fmla="*/ 1926771 w 1944914"/>
              <a:gd name="connsiteY78" fmla="*/ 809171 h 1636486"/>
              <a:gd name="connsiteX79" fmla="*/ 1944914 w 1944914"/>
              <a:gd name="connsiteY79" fmla="*/ 765628 h 1636486"/>
              <a:gd name="connsiteX80" fmla="*/ 1897743 w 1944914"/>
              <a:gd name="connsiteY80" fmla="*/ 703943 h 1636486"/>
              <a:gd name="connsiteX81" fmla="*/ 1886857 w 1944914"/>
              <a:gd name="connsiteY81" fmla="*/ 696686 h 1636486"/>
              <a:gd name="connsiteX82" fmla="*/ 1741714 w 1944914"/>
              <a:gd name="connsiteY82" fmla="*/ 747486 h 1636486"/>
              <a:gd name="connsiteX83" fmla="*/ 1621971 w 1944914"/>
              <a:gd name="connsiteY83" fmla="*/ 689428 h 1636486"/>
              <a:gd name="connsiteX84" fmla="*/ 1556657 w 1944914"/>
              <a:gd name="connsiteY84" fmla="*/ 671286 h 1636486"/>
              <a:gd name="connsiteX85" fmla="*/ 1469571 w 1944914"/>
              <a:gd name="connsiteY85" fmla="*/ 580571 h 1636486"/>
              <a:gd name="connsiteX86" fmla="*/ 1491343 w 1944914"/>
              <a:gd name="connsiteY86" fmla="*/ 518886 h 1636486"/>
              <a:gd name="connsiteX87" fmla="*/ 1440543 w 1944914"/>
              <a:gd name="connsiteY87" fmla="*/ 453571 h 1636486"/>
              <a:gd name="connsiteX88" fmla="*/ 1469571 w 1944914"/>
              <a:gd name="connsiteY88" fmla="*/ 424543 h 1636486"/>
              <a:gd name="connsiteX89" fmla="*/ 1487714 w 1944914"/>
              <a:gd name="connsiteY89" fmla="*/ 366486 h 1636486"/>
              <a:gd name="connsiteX90" fmla="*/ 1505857 w 1944914"/>
              <a:gd name="connsiteY90" fmla="*/ 322943 h 1636486"/>
              <a:gd name="connsiteX91" fmla="*/ 1556657 w 1944914"/>
              <a:gd name="connsiteY91" fmla="*/ 315686 h 1636486"/>
              <a:gd name="connsiteX92" fmla="*/ 1505857 w 1944914"/>
              <a:gd name="connsiteY92" fmla="*/ 203200 h 1636486"/>
              <a:gd name="connsiteX93" fmla="*/ 1433285 w 1944914"/>
              <a:gd name="connsiteY93" fmla="*/ 203200 h 1636486"/>
              <a:gd name="connsiteX94" fmla="*/ 1367971 w 1944914"/>
              <a:gd name="connsiteY94" fmla="*/ 156028 h 1636486"/>
              <a:gd name="connsiteX95" fmla="*/ 1357085 w 1944914"/>
              <a:gd name="connsiteY95" fmla="*/ 68943 h 1636486"/>
              <a:gd name="connsiteX96" fmla="*/ 1324428 w 1944914"/>
              <a:gd name="connsiteY96" fmla="*/ 68943 h 1636486"/>
              <a:gd name="connsiteX97" fmla="*/ 1295400 w 1944914"/>
              <a:gd name="connsiteY97" fmla="*/ 3628 h 163648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Lst>
            <a:rect l="l" t="t" r="r" b="b"/>
            <a:pathLst>
              <a:path w="1944914" h="1636486">
                <a:moveTo>
                  <a:pt x="1295400" y="3628"/>
                </a:moveTo>
                <a:lnTo>
                  <a:pt x="1226457" y="10886"/>
                </a:lnTo>
                <a:lnTo>
                  <a:pt x="1201057" y="50800"/>
                </a:lnTo>
                <a:lnTo>
                  <a:pt x="1103085" y="0"/>
                </a:lnTo>
                <a:lnTo>
                  <a:pt x="1084943" y="39914"/>
                </a:lnTo>
                <a:lnTo>
                  <a:pt x="1081314" y="50800"/>
                </a:lnTo>
                <a:lnTo>
                  <a:pt x="1095828" y="101600"/>
                </a:lnTo>
                <a:lnTo>
                  <a:pt x="1157514" y="127000"/>
                </a:lnTo>
                <a:lnTo>
                  <a:pt x="1146628" y="221343"/>
                </a:lnTo>
                <a:lnTo>
                  <a:pt x="1103085" y="203200"/>
                </a:lnTo>
                <a:lnTo>
                  <a:pt x="954314" y="239486"/>
                </a:lnTo>
                <a:lnTo>
                  <a:pt x="925285" y="286657"/>
                </a:lnTo>
                <a:lnTo>
                  <a:pt x="867228" y="297543"/>
                </a:lnTo>
                <a:lnTo>
                  <a:pt x="852714" y="373743"/>
                </a:lnTo>
                <a:lnTo>
                  <a:pt x="783771" y="377371"/>
                </a:lnTo>
                <a:lnTo>
                  <a:pt x="747485" y="475343"/>
                </a:lnTo>
                <a:lnTo>
                  <a:pt x="776514" y="493486"/>
                </a:lnTo>
                <a:lnTo>
                  <a:pt x="747485" y="533400"/>
                </a:lnTo>
                <a:lnTo>
                  <a:pt x="706331" y="497792"/>
                </a:lnTo>
                <a:lnTo>
                  <a:pt x="660400" y="576943"/>
                </a:lnTo>
                <a:lnTo>
                  <a:pt x="678543" y="613228"/>
                </a:lnTo>
                <a:lnTo>
                  <a:pt x="801914" y="682171"/>
                </a:lnTo>
                <a:lnTo>
                  <a:pt x="794657" y="736600"/>
                </a:lnTo>
                <a:lnTo>
                  <a:pt x="758371" y="747486"/>
                </a:lnTo>
                <a:lnTo>
                  <a:pt x="703943" y="809171"/>
                </a:lnTo>
                <a:lnTo>
                  <a:pt x="650111" y="770524"/>
                </a:lnTo>
                <a:lnTo>
                  <a:pt x="627144" y="738458"/>
                </a:lnTo>
                <a:lnTo>
                  <a:pt x="527934" y="740228"/>
                </a:lnTo>
                <a:lnTo>
                  <a:pt x="532159" y="659809"/>
                </a:lnTo>
                <a:lnTo>
                  <a:pt x="482600" y="685800"/>
                </a:lnTo>
                <a:lnTo>
                  <a:pt x="456556" y="655001"/>
                </a:lnTo>
                <a:lnTo>
                  <a:pt x="344714" y="714828"/>
                </a:lnTo>
                <a:lnTo>
                  <a:pt x="341085" y="718457"/>
                </a:lnTo>
                <a:lnTo>
                  <a:pt x="301171" y="667657"/>
                </a:lnTo>
                <a:lnTo>
                  <a:pt x="228600" y="660400"/>
                </a:lnTo>
                <a:lnTo>
                  <a:pt x="246743" y="747486"/>
                </a:lnTo>
                <a:lnTo>
                  <a:pt x="250371" y="830943"/>
                </a:lnTo>
                <a:lnTo>
                  <a:pt x="330200" y="907143"/>
                </a:lnTo>
                <a:lnTo>
                  <a:pt x="221343" y="1030514"/>
                </a:lnTo>
                <a:lnTo>
                  <a:pt x="199571" y="1157514"/>
                </a:lnTo>
                <a:lnTo>
                  <a:pt x="163285" y="1150257"/>
                </a:lnTo>
                <a:lnTo>
                  <a:pt x="105228" y="1211943"/>
                </a:lnTo>
                <a:lnTo>
                  <a:pt x="119743" y="1237343"/>
                </a:lnTo>
                <a:lnTo>
                  <a:pt x="47171" y="1262743"/>
                </a:lnTo>
                <a:lnTo>
                  <a:pt x="0" y="1335314"/>
                </a:lnTo>
                <a:lnTo>
                  <a:pt x="177800" y="1342571"/>
                </a:lnTo>
                <a:lnTo>
                  <a:pt x="210457" y="1371600"/>
                </a:lnTo>
                <a:lnTo>
                  <a:pt x="203200" y="1411514"/>
                </a:lnTo>
                <a:lnTo>
                  <a:pt x="243114" y="1422400"/>
                </a:lnTo>
                <a:lnTo>
                  <a:pt x="366485" y="1407886"/>
                </a:lnTo>
                <a:lnTo>
                  <a:pt x="344714" y="1378857"/>
                </a:lnTo>
                <a:lnTo>
                  <a:pt x="362857" y="1342571"/>
                </a:lnTo>
                <a:lnTo>
                  <a:pt x="399143" y="1349828"/>
                </a:lnTo>
                <a:lnTo>
                  <a:pt x="449943" y="1415143"/>
                </a:lnTo>
                <a:lnTo>
                  <a:pt x="624114" y="1400628"/>
                </a:lnTo>
                <a:lnTo>
                  <a:pt x="664028" y="1505857"/>
                </a:lnTo>
                <a:lnTo>
                  <a:pt x="787400" y="1542143"/>
                </a:lnTo>
                <a:lnTo>
                  <a:pt x="830943" y="1531257"/>
                </a:lnTo>
                <a:lnTo>
                  <a:pt x="903514" y="1571171"/>
                </a:lnTo>
                <a:lnTo>
                  <a:pt x="907143" y="1614714"/>
                </a:lnTo>
                <a:lnTo>
                  <a:pt x="1008743" y="1578428"/>
                </a:lnTo>
                <a:lnTo>
                  <a:pt x="1095828" y="1592943"/>
                </a:lnTo>
                <a:lnTo>
                  <a:pt x="1103085" y="1636486"/>
                </a:lnTo>
                <a:lnTo>
                  <a:pt x="1132114" y="1560286"/>
                </a:lnTo>
                <a:lnTo>
                  <a:pt x="1222828" y="1585686"/>
                </a:lnTo>
                <a:lnTo>
                  <a:pt x="1230085" y="1542143"/>
                </a:lnTo>
                <a:lnTo>
                  <a:pt x="1291771" y="1531257"/>
                </a:lnTo>
                <a:lnTo>
                  <a:pt x="1342571" y="1494971"/>
                </a:lnTo>
                <a:lnTo>
                  <a:pt x="1386114" y="1502228"/>
                </a:lnTo>
                <a:lnTo>
                  <a:pt x="1400628" y="1429657"/>
                </a:lnTo>
                <a:lnTo>
                  <a:pt x="1371600" y="1407886"/>
                </a:lnTo>
                <a:lnTo>
                  <a:pt x="1447800" y="1306286"/>
                </a:lnTo>
                <a:lnTo>
                  <a:pt x="1509485" y="1306286"/>
                </a:lnTo>
                <a:lnTo>
                  <a:pt x="1563914" y="1201057"/>
                </a:lnTo>
                <a:lnTo>
                  <a:pt x="1636485" y="1172028"/>
                </a:lnTo>
                <a:lnTo>
                  <a:pt x="1651000" y="1110343"/>
                </a:lnTo>
                <a:lnTo>
                  <a:pt x="1836057" y="1019628"/>
                </a:lnTo>
                <a:lnTo>
                  <a:pt x="1843314" y="925286"/>
                </a:lnTo>
                <a:lnTo>
                  <a:pt x="1926771" y="809171"/>
                </a:lnTo>
                <a:lnTo>
                  <a:pt x="1944914" y="765628"/>
                </a:lnTo>
                <a:lnTo>
                  <a:pt x="1897743" y="703943"/>
                </a:lnTo>
                <a:lnTo>
                  <a:pt x="1886857" y="696686"/>
                </a:lnTo>
                <a:lnTo>
                  <a:pt x="1741714" y="747486"/>
                </a:lnTo>
                <a:lnTo>
                  <a:pt x="1621971" y="689428"/>
                </a:lnTo>
                <a:lnTo>
                  <a:pt x="1556657" y="671286"/>
                </a:lnTo>
                <a:lnTo>
                  <a:pt x="1469571" y="580571"/>
                </a:lnTo>
                <a:lnTo>
                  <a:pt x="1491343" y="518886"/>
                </a:lnTo>
                <a:lnTo>
                  <a:pt x="1440543" y="453571"/>
                </a:lnTo>
                <a:lnTo>
                  <a:pt x="1469571" y="424543"/>
                </a:lnTo>
                <a:lnTo>
                  <a:pt x="1487714" y="366486"/>
                </a:lnTo>
                <a:lnTo>
                  <a:pt x="1505857" y="322943"/>
                </a:lnTo>
                <a:lnTo>
                  <a:pt x="1556657" y="315686"/>
                </a:lnTo>
                <a:lnTo>
                  <a:pt x="1505857" y="203200"/>
                </a:lnTo>
                <a:lnTo>
                  <a:pt x="1433285" y="203200"/>
                </a:lnTo>
                <a:lnTo>
                  <a:pt x="1367971" y="156028"/>
                </a:lnTo>
                <a:lnTo>
                  <a:pt x="1357085" y="68943"/>
                </a:lnTo>
                <a:lnTo>
                  <a:pt x="1324428" y="68943"/>
                </a:lnTo>
                <a:lnTo>
                  <a:pt x="1295400" y="3628"/>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26" name="Languedoc_Roussillon">
            <a:extLst>
              <a:ext uri="{FF2B5EF4-FFF2-40B4-BE49-F238E27FC236}">
                <a16:creationId xmlns:a16="http://schemas.microsoft.com/office/drawing/2014/main" id="{00000000-0008-0000-0100-000046010000}"/>
              </a:ext>
            </a:extLst>
          </xdr:cNvPr>
          <xdr:cNvSpPr/>
        </xdr:nvSpPr>
        <xdr:spPr>
          <a:xfrm>
            <a:off x="3279522" y="5846620"/>
            <a:ext cx="3219479" cy="2038860"/>
          </a:xfrm>
          <a:custGeom>
            <a:avLst/>
            <a:gdLst>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35200 w 2933700"/>
              <a:gd name="connsiteY105" fmla="*/ 101600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2103966 w 2933700"/>
              <a:gd name="connsiteY109" fmla="*/ 42334 h 2091267"/>
              <a:gd name="connsiteX110" fmla="*/ 1985433 w 2933700"/>
              <a:gd name="connsiteY110" fmla="*/ 127000 h 2091267"/>
              <a:gd name="connsiteX111" fmla="*/ 1981200 w 2933700"/>
              <a:gd name="connsiteY111" fmla="*/ 101600 h 2091267"/>
              <a:gd name="connsiteX112" fmla="*/ 1892300 w 2933700"/>
              <a:gd name="connsiteY112" fmla="*/ 300567 h 2091267"/>
              <a:gd name="connsiteX113" fmla="*/ 1854200 w 2933700"/>
              <a:gd name="connsiteY113" fmla="*/ 241300 h 2091267"/>
              <a:gd name="connsiteX114" fmla="*/ 1862666 w 2933700"/>
              <a:gd name="connsiteY114" fmla="*/ 186267 h 2091267"/>
              <a:gd name="connsiteX115" fmla="*/ 1824566 w 2933700"/>
              <a:gd name="connsiteY115" fmla="*/ 160867 h 2091267"/>
              <a:gd name="connsiteX116" fmla="*/ 1816100 w 2933700"/>
              <a:gd name="connsiteY116" fmla="*/ 114300 h 2091267"/>
              <a:gd name="connsiteX117" fmla="*/ 1744133 w 2933700"/>
              <a:gd name="connsiteY117" fmla="*/ 76200 h 2091267"/>
              <a:gd name="connsiteX118" fmla="*/ 1735666 w 2933700"/>
              <a:gd name="connsiteY118" fmla="*/ 71967 h 2091267"/>
              <a:gd name="connsiteX119" fmla="*/ 1689100 w 2933700"/>
              <a:gd name="connsiteY119" fmla="*/ 122767 h 2091267"/>
              <a:gd name="connsiteX120" fmla="*/ 1651000 w 2933700"/>
              <a:gd name="connsiteY120" fmla="*/ 232834 h 2091267"/>
              <a:gd name="connsiteX121" fmla="*/ 1600200 w 2933700"/>
              <a:gd name="connsiteY121" fmla="*/ 300567 h 2091267"/>
              <a:gd name="connsiteX122" fmla="*/ 1519766 w 2933700"/>
              <a:gd name="connsiteY122" fmla="*/ 287867 h 2091267"/>
              <a:gd name="connsiteX123" fmla="*/ 1460500 w 2933700"/>
              <a:gd name="connsiteY123" fmla="*/ 317500 h 2091267"/>
              <a:gd name="connsiteX124" fmla="*/ 1413933 w 2933700"/>
              <a:gd name="connsiteY124" fmla="*/ 245534 h 2091267"/>
              <a:gd name="connsiteX125" fmla="*/ 1430866 w 2933700"/>
              <a:gd name="connsiteY125" fmla="*/ 190500 h 2091267"/>
              <a:gd name="connsiteX126" fmla="*/ 1384300 w 2933700"/>
              <a:gd name="connsiteY126" fmla="*/ 105834 h 2091267"/>
              <a:gd name="connsiteX127" fmla="*/ 1380066 w 2933700"/>
              <a:gd name="connsiteY127"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35200 w 2933700"/>
              <a:gd name="connsiteY105" fmla="*/ 101600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2103966 w 2933700"/>
              <a:gd name="connsiteY109" fmla="*/ 42334 h 2091267"/>
              <a:gd name="connsiteX110" fmla="*/ 1985433 w 2933700"/>
              <a:gd name="connsiteY110" fmla="*/ 127000 h 2091267"/>
              <a:gd name="connsiteX111" fmla="*/ 1981200 w 2933700"/>
              <a:gd name="connsiteY111" fmla="*/ 101600 h 2091267"/>
              <a:gd name="connsiteX112" fmla="*/ 1892300 w 2933700"/>
              <a:gd name="connsiteY112" fmla="*/ 300567 h 2091267"/>
              <a:gd name="connsiteX113" fmla="*/ 1854200 w 2933700"/>
              <a:gd name="connsiteY113" fmla="*/ 241300 h 2091267"/>
              <a:gd name="connsiteX114" fmla="*/ 1862666 w 2933700"/>
              <a:gd name="connsiteY114" fmla="*/ 186267 h 2091267"/>
              <a:gd name="connsiteX115" fmla="*/ 1824566 w 2933700"/>
              <a:gd name="connsiteY115" fmla="*/ 160867 h 2091267"/>
              <a:gd name="connsiteX116" fmla="*/ 1816100 w 2933700"/>
              <a:gd name="connsiteY116" fmla="*/ 114300 h 2091267"/>
              <a:gd name="connsiteX117" fmla="*/ 1744133 w 2933700"/>
              <a:gd name="connsiteY117" fmla="*/ 76200 h 2091267"/>
              <a:gd name="connsiteX118" fmla="*/ 1761073 w 2933700"/>
              <a:gd name="connsiteY118" fmla="*/ 55017 h 2091267"/>
              <a:gd name="connsiteX119" fmla="*/ 1689100 w 2933700"/>
              <a:gd name="connsiteY119" fmla="*/ 122767 h 2091267"/>
              <a:gd name="connsiteX120" fmla="*/ 1651000 w 2933700"/>
              <a:gd name="connsiteY120" fmla="*/ 232834 h 2091267"/>
              <a:gd name="connsiteX121" fmla="*/ 1600200 w 2933700"/>
              <a:gd name="connsiteY121" fmla="*/ 300567 h 2091267"/>
              <a:gd name="connsiteX122" fmla="*/ 1519766 w 2933700"/>
              <a:gd name="connsiteY122" fmla="*/ 287867 h 2091267"/>
              <a:gd name="connsiteX123" fmla="*/ 1460500 w 2933700"/>
              <a:gd name="connsiteY123" fmla="*/ 317500 h 2091267"/>
              <a:gd name="connsiteX124" fmla="*/ 1413933 w 2933700"/>
              <a:gd name="connsiteY124" fmla="*/ 245534 h 2091267"/>
              <a:gd name="connsiteX125" fmla="*/ 1430866 w 2933700"/>
              <a:gd name="connsiteY125" fmla="*/ 190500 h 2091267"/>
              <a:gd name="connsiteX126" fmla="*/ 1384300 w 2933700"/>
              <a:gd name="connsiteY126" fmla="*/ 105834 h 2091267"/>
              <a:gd name="connsiteX127" fmla="*/ 1380066 w 2933700"/>
              <a:gd name="connsiteY127"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35200 w 2933700"/>
              <a:gd name="connsiteY105" fmla="*/ 101600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2103966 w 2933700"/>
              <a:gd name="connsiteY109" fmla="*/ 42334 h 2091267"/>
              <a:gd name="connsiteX110" fmla="*/ 1985433 w 2933700"/>
              <a:gd name="connsiteY110" fmla="*/ 127000 h 2091267"/>
              <a:gd name="connsiteX111" fmla="*/ 1981200 w 2933700"/>
              <a:gd name="connsiteY111" fmla="*/ 101600 h 2091267"/>
              <a:gd name="connsiteX112" fmla="*/ 1892300 w 2933700"/>
              <a:gd name="connsiteY112" fmla="*/ 300567 h 2091267"/>
              <a:gd name="connsiteX113" fmla="*/ 1854200 w 2933700"/>
              <a:gd name="connsiteY113" fmla="*/ 241300 h 2091267"/>
              <a:gd name="connsiteX114" fmla="*/ 1862666 w 2933700"/>
              <a:gd name="connsiteY114" fmla="*/ 186267 h 2091267"/>
              <a:gd name="connsiteX115" fmla="*/ 1824566 w 2933700"/>
              <a:gd name="connsiteY115" fmla="*/ 160867 h 2091267"/>
              <a:gd name="connsiteX116" fmla="*/ 1816100 w 2933700"/>
              <a:gd name="connsiteY116" fmla="*/ 114300 h 2091267"/>
              <a:gd name="connsiteX117" fmla="*/ 1744133 w 2933700"/>
              <a:gd name="connsiteY117" fmla="*/ 76200 h 2091267"/>
              <a:gd name="connsiteX118" fmla="*/ 1689100 w 2933700"/>
              <a:gd name="connsiteY118" fmla="*/ 122767 h 2091267"/>
              <a:gd name="connsiteX119" fmla="*/ 1651000 w 2933700"/>
              <a:gd name="connsiteY119" fmla="*/ 232834 h 2091267"/>
              <a:gd name="connsiteX120" fmla="*/ 1600200 w 2933700"/>
              <a:gd name="connsiteY120" fmla="*/ 300567 h 2091267"/>
              <a:gd name="connsiteX121" fmla="*/ 1519766 w 2933700"/>
              <a:gd name="connsiteY121" fmla="*/ 287867 h 2091267"/>
              <a:gd name="connsiteX122" fmla="*/ 1460500 w 2933700"/>
              <a:gd name="connsiteY122" fmla="*/ 317500 h 2091267"/>
              <a:gd name="connsiteX123" fmla="*/ 1413933 w 2933700"/>
              <a:gd name="connsiteY123" fmla="*/ 245534 h 2091267"/>
              <a:gd name="connsiteX124" fmla="*/ 1430866 w 2933700"/>
              <a:gd name="connsiteY124" fmla="*/ 190500 h 2091267"/>
              <a:gd name="connsiteX125" fmla="*/ 1384300 w 2933700"/>
              <a:gd name="connsiteY125" fmla="*/ 105834 h 2091267"/>
              <a:gd name="connsiteX126" fmla="*/ 1380066 w 2933700"/>
              <a:gd name="connsiteY126"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35200 w 2933700"/>
              <a:gd name="connsiteY105" fmla="*/ 101600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2103966 w 2933700"/>
              <a:gd name="connsiteY109" fmla="*/ 42334 h 2091267"/>
              <a:gd name="connsiteX110" fmla="*/ 1985433 w 2933700"/>
              <a:gd name="connsiteY110" fmla="*/ 127000 h 2091267"/>
              <a:gd name="connsiteX111" fmla="*/ 1981200 w 2933700"/>
              <a:gd name="connsiteY111" fmla="*/ 101600 h 2091267"/>
              <a:gd name="connsiteX112" fmla="*/ 1892300 w 2933700"/>
              <a:gd name="connsiteY112" fmla="*/ 300567 h 2091267"/>
              <a:gd name="connsiteX113" fmla="*/ 1854200 w 2933700"/>
              <a:gd name="connsiteY113" fmla="*/ 241300 h 2091267"/>
              <a:gd name="connsiteX114" fmla="*/ 1862666 w 2933700"/>
              <a:gd name="connsiteY114" fmla="*/ 186267 h 2091267"/>
              <a:gd name="connsiteX115" fmla="*/ 1824566 w 2933700"/>
              <a:gd name="connsiteY115" fmla="*/ 160867 h 2091267"/>
              <a:gd name="connsiteX116" fmla="*/ 1816100 w 2933700"/>
              <a:gd name="connsiteY116" fmla="*/ 114300 h 2091267"/>
              <a:gd name="connsiteX117" fmla="*/ 1752602 w 2933700"/>
              <a:gd name="connsiteY117" fmla="*/ 63487 h 2091267"/>
              <a:gd name="connsiteX118" fmla="*/ 1689100 w 2933700"/>
              <a:gd name="connsiteY118" fmla="*/ 122767 h 2091267"/>
              <a:gd name="connsiteX119" fmla="*/ 1651000 w 2933700"/>
              <a:gd name="connsiteY119" fmla="*/ 232834 h 2091267"/>
              <a:gd name="connsiteX120" fmla="*/ 1600200 w 2933700"/>
              <a:gd name="connsiteY120" fmla="*/ 300567 h 2091267"/>
              <a:gd name="connsiteX121" fmla="*/ 1519766 w 2933700"/>
              <a:gd name="connsiteY121" fmla="*/ 287867 h 2091267"/>
              <a:gd name="connsiteX122" fmla="*/ 1460500 w 2933700"/>
              <a:gd name="connsiteY122" fmla="*/ 317500 h 2091267"/>
              <a:gd name="connsiteX123" fmla="*/ 1413933 w 2933700"/>
              <a:gd name="connsiteY123" fmla="*/ 245534 h 2091267"/>
              <a:gd name="connsiteX124" fmla="*/ 1430866 w 2933700"/>
              <a:gd name="connsiteY124" fmla="*/ 190500 h 2091267"/>
              <a:gd name="connsiteX125" fmla="*/ 1384300 w 2933700"/>
              <a:gd name="connsiteY125" fmla="*/ 105834 h 2091267"/>
              <a:gd name="connsiteX126" fmla="*/ 1380066 w 2933700"/>
              <a:gd name="connsiteY126"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35200 w 2933700"/>
              <a:gd name="connsiteY105" fmla="*/ 101600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2103966 w 2933700"/>
              <a:gd name="connsiteY109" fmla="*/ 42334 h 2091267"/>
              <a:gd name="connsiteX110" fmla="*/ 1985433 w 2933700"/>
              <a:gd name="connsiteY110" fmla="*/ 127000 h 2091267"/>
              <a:gd name="connsiteX111" fmla="*/ 1981200 w 2933700"/>
              <a:gd name="connsiteY111" fmla="*/ 101600 h 2091267"/>
              <a:gd name="connsiteX112" fmla="*/ 1892300 w 2933700"/>
              <a:gd name="connsiteY112" fmla="*/ 300567 h 2091267"/>
              <a:gd name="connsiteX113" fmla="*/ 1854200 w 2933700"/>
              <a:gd name="connsiteY113" fmla="*/ 241300 h 2091267"/>
              <a:gd name="connsiteX114" fmla="*/ 1862666 w 2933700"/>
              <a:gd name="connsiteY114" fmla="*/ 186267 h 2091267"/>
              <a:gd name="connsiteX115" fmla="*/ 1824566 w 2933700"/>
              <a:gd name="connsiteY115" fmla="*/ 160867 h 2091267"/>
              <a:gd name="connsiteX116" fmla="*/ 1816100 w 2933700"/>
              <a:gd name="connsiteY116" fmla="*/ 114300 h 2091267"/>
              <a:gd name="connsiteX117" fmla="*/ 1752602 w 2933700"/>
              <a:gd name="connsiteY117" fmla="*/ 63487 h 2091267"/>
              <a:gd name="connsiteX118" fmla="*/ 1689100 w 2933700"/>
              <a:gd name="connsiteY118" fmla="*/ 122767 h 2091267"/>
              <a:gd name="connsiteX119" fmla="*/ 1651000 w 2933700"/>
              <a:gd name="connsiteY119" fmla="*/ 232834 h 2091267"/>
              <a:gd name="connsiteX120" fmla="*/ 1600200 w 2933700"/>
              <a:gd name="connsiteY120" fmla="*/ 300567 h 2091267"/>
              <a:gd name="connsiteX121" fmla="*/ 1532470 w 2933700"/>
              <a:gd name="connsiteY121" fmla="*/ 270917 h 2091267"/>
              <a:gd name="connsiteX122" fmla="*/ 1460500 w 2933700"/>
              <a:gd name="connsiteY122" fmla="*/ 317500 h 2091267"/>
              <a:gd name="connsiteX123" fmla="*/ 1413933 w 2933700"/>
              <a:gd name="connsiteY123" fmla="*/ 245534 h 2091267"/>
              <a:gd name="connsiteX124" fmla="*/ 1430866 w 2933700"/>
              <a:gd name="connsiteY124" fmla="*/ 190500 h 2091267"/>
              <a:gd name="connsiteX125" fmla="*/ 1384300 w 2933700"/>
              <a:gd name="connsiteY125" fmla="*/ 105834 h 2091267"/>
              <a:gd name="connsiteX126" fmla="*/ 1380066 w 2933700"/>
              <a:gd name="connsiteY126"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35200 w 2933700"/>
              <a:gd name="connsiteY105" fmla="*/ 101600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1985433 w 2933700"/>
              <a:gd name="connsiteY109" fmla="*/ 127000 h 2091267"/>
              <a:gd name="connsiteX110" fmla="*/ 1981200 w 2933700"/>
              <a:gd name="connsiteY110" fmla="*/ 101600 h 2091267"/>
              <a:gd name="connsiteX111" fmla="*/ 1892300 w 2933700"/>
              <a:gd name="connsiteY111" fmla="*/ 300567 h 2091267"/>
              <a:gd name="connsiteX112" fmla="*/ 1854200 w 2933700"/>
              <a:gd name="connsiteY112" fmla="*/ 241300 h 2091267"/>
              <a:gd name="connsiteX113" fmla="*/ 1862666 w 2933700"/>
              <a:gd name="connsiteY113" fmla="*/ 186267 h 2091267"/>
              <a:gd name="connsiteX114" fmla="*/ 1824566 w 2933700"/>
              <a:gd name="connsiteY114" fmla="*/ 160867 h 2091267"/>
              <a:gd name="connsiteX115" fmla="*/ 1816100 w 2933700"/>
              <a:gd name="connsiteY115" fmla="*/ 114300 h 2091267"/>
              <a:gd name="connsiteX116" fmla="*/ 1752602 w 2933700"/>
              <a:gd name="connsiteY116" fmla="*/ 63487 h 2091267"/>
              <a:gd name="connsiteX117" fmla="*/ 1689100 w 2933700"/>
              <a:gd name="connsiteY117" fmla="*/ 122767 h 2091267"/>
              <a:gd name="connsiteX118" fmla="*/ 1651000 w 2933700"/>
              <a:gd name="connsiteY118" fmla="*/ 232834 h 2091267"/>
              <a:gd name="connsiteX119" fmla="*/ 1600200 w 2933700"/>
              <a:gd name="connsiteY119" fmla="*/ 300567 h 2091267"/>
              <a:gd name="connsiteX120" fmla="*/ 1532470 w 2933700"/>
              <a:gd name="connsiteY120" fmla="*/ 270917 h 2091267"/>
              <a:gd name="connsiteX121" fmla="*/ 1460500 w 2933700"/>
              <a:gd name="connsiteY121" fmla="*/ 317500 h 2091267"/>
              <a:gd name="connsiteX122" fmla="*/ 1413933 w 2933700"/>
              <a:gd name="connsiteY122" fmla="*/ 245534 h 2091267"/>
              <a:gd name="connsiteX123" fmla="*/ 1430866 w 2933700"/>
              <a:gd name="connsiteY123" fmla="*/ 190500 h 2091267"/>
              <a:gd name="connsiteX124" fmla="*/ 1384300 w 2933700"/>
              <a:gd name="connsiteY124" fmla="*/ 105834 h 2091267"/>
              <a:gd name="connsiteX125" fmla="*/ 1380066 w 2933700"/>
              <a:gd name="connsiteY125"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35200 w 2933700"/>
              <a:gd name="connsiteY105" fmla="*/ 101600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2105335 w 2933700"/>
              <a:gd name="connsiteY109" fmla="*/ 30312 h 2091267"/>
              <a:gd name="connsiteX110" fmla="*/ 1985433 w 2933700"/>
              <a:gd name="connsiteY110" fmla="*/ 127000 h 2091267"/>
              <a:gd name="connsiteX111" fmla="*/ 1981200 w 2933700"/>
              <a:gd name="connsiteY111" fmla="*/ 101600 h 2091267"/>
              <a:gd name="connsiteX112" fmla="*/ 1892300 w 2933700"/>
              <a:gd name="connsiteY112" fmla="*/ 300567 h 2091267"/>
              <a:gd name="connsiteX113" fmla="*/ 1854200 w 2933700"/>
              <a:gd name="connsiteY113" fmla="*/ 241300 h 2091267"/>
              <a:gd name="connsiteX114" fmla="*/ 1862666 w 2933700"/>
              <a:gd name="connsiteY114" fmla="*/ 186267 h 2091267"/>
              <a:gd name="connsiteX115" fmla="*/ 1824566 w 2933700"/>
              <a:gd name="connsiteY115" fmla="*/ 160867 h 2091267"/>
              <a:gd name="connsiteX116" fmla="*/ 1816100 w 2933700"/>
              <a:gd name="connsiteY116" fmla="*/ 114300 h 2091267"/>
              <a:gd name="connsiteX117" fmla="*/ 1752602 w 2933700"/>
              <a:gd name="connsiteY117" fmla="*/ 63487 h 2091267"/>
              <a:gd name="connsiteX118" fmla="*/ 1689100 w 2933700"/>
              <a:gd name="connsiteY118" fmla="*/ 122767 h 2091267"/>
              <a:gd name="connsiteX119" fmla="*/ 1651000 w 2933700"/>
              <a:gd name="connsiteY119" fmla="*/ 232834 h 2091267"/>
              <a:gd name="connsiteX120" fmla="*/ 1600200 w 2933700"/>
              <a:gd name="connsiteY120" fmla="*/ 300567 h 2091267"/>
              <a:gd name="connsiteX121" fmla="*/ 1532470 w 2933700"/>
              <a:gd name="connsiteY121" fmla="*/ 270917 h 2091267"/>
              <a:gd name="connsiteX122" fmla="*/ 1460500 w 2933700"/>
              <a:gd name="connsiteY122" fmla="*/ 317500 h 2091267"/>
              <a:gd name="connsiteX123" fmla="*/ 1413933 w 2933700"/>
              <a:gd name="connsiteY123" fmla="*/ 245534 h 2091267"/>
              <a:gd name="connsiteX124" fmla="*/ 1430866 w 2933700"/>
              <a:gd name="connsiteY124" fmla="*/ 190500 h 2091267"/>
              <a:gd name="connsiteX125" fmla="*/ 1384300 w 2933700"/>
              <a:gd name="connsiteY125" fmla="*/ 105834 h 2091267"/>
              <a:gd name="connsiteX126" fmla="*/ 1380066 w 2933700"/>
              <a:gd name="connsiteY126"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35200 w 2933700"/>
              <a:gd name="connsiteY105" fmla="*/ 101600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2105335 w 2933700"/>
              <a:gd name="connsiteY109" fmla="*/ 30312 h 2091267"/>
              <a:gd name="connsiteX110" fmla="*/ 1981200 w 2933700"/>
              <a:gd name="connsiteY110" fmla="*/ 101600 h 2091267"/>
              <a:gd name="connsiteX111" fmla="*/ 1892300 w 2933700"/>
              <a:gd name="connsiteY111" fmla="*/ 300567 h 2091267"/>
              <a:gd name="connsiteX112" fmla="*/ 1854200 w 2933700"/>
              <a:gd name="connsiteY112" fmla="*/ 241300 h 2091267"/>
              <a:gd name="connsiteX113" fmla="*/ 1862666 w 2933700"/>
              <a:gd name="connsiteY113" fmla="*/ 186267 h 2091267"/>
              <a:gd name="connsiteX114" fmla="*/ 1824566 w 2933700"/>
              <a:gd name="connsiteY114" fmla="*/ 160867 h 2091267"/>
              <a:gd name="connsiteX115" fmla="*/ 1816100 w 2933700"/>
              <a:gd name="connsiteY115" fmla="*/ 114300 h 2091267"/>
              <a:gd name="connsiteX116" fmla="*/ 1752602 w 2933700"/>
              <a:gd name="connsiteY116" fmla="*/ 63487 h 2091267"/>
              <a:gd name="connsiteX117" fmla="*/ 1689100 w 2933700"/>
              <a:gd name="connsiteY117" fmla="*/ 122767 h 2091267"/>
              <a:gd name="connsiteX118" fmla="*/ 1651000 w 2933700"/>
              <a:gd name="connsiteY118" fmla="*/ 232834 h 2091267"/>
              <a:gd name="connsiteX119" fmla="*/ 1600200 w 2933700"/>
              <a:gd name="connsiteY119" fmla="*/ 300567 h 2091267"/>
              <a:gd name="connsiteX120" fmla="*/ 1532470 w 2933700"/>
              <a:gd name="connsiteY120" fmla="*/ 270917 h 2091267"/>
              <a:gd name="connsiteX121" fmla="*/ 1460500 w 2933700"/>
              <a:gd name="connsiteY121" fmla="*/ 317500 h 2091267"/>
              <a:gd name="connsiteX122" fmla="*/ 1413933 w 2933700"/>
              <a:gd name="connsiteY122" fmla="*/ 245534 h 2091267"/>
              <a:gd name="connsiteX123" fmla="*/ 1430866 w 2933700"/>
              <a:gd name="connsiteY123" fmla="*/ 190500 h 2091267"/>
              <a:gd name="connsiteX124" fmla="*/ 1384300 w 2933700"/>
              <a:gd name="connsiteY124" fmla="*/ 105834 h 2091267"/>
              <a:gd name="connsiteX125" fmla="*/ 1380066 w 2933700"/>
              <a:gd name="connsiteY125"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52139 w 2933700"/>
              <a:gd name="connsiteY105" fmla="*/ 97362 h 2091267"/>
              <a:gd name="connsiteX106" fmla="*/ 2222500 w 2933700"/>
              <a:gd name="connsiteY106" fmla="*/ 156634 h 2091267"/>
              <a:gd name="connsiteX107" fmla="*/ 2142066 w 2933700"/>
              <a:gd name="connsiteY107" fmla="*/ 127000 h 2091267"/>
              <a:gd name="connsiteX108" fmla="*/ 2116666 w 2933700"/>
              <a:gd name="connsiteY108" fmla="*/ 46567 h 2091267"/>
              <a:gd name="connsiteX109" fmla="*/ 2105335 w 2933700"/>
              <a:gd name="connsiteY109" fmla="*/ 30312 h 2091267"/>
              <a:gd name="connsiteX110" fmla="*/ 1981200 w 2933700"/>
              <a:gd name="connsiteY110" fmla="*/ 101600 h 2091267"/>
              <a:gd name="connsiteX111" fmla="*/ 1892300 w 2933700"/>
              <a:gd name="connsiteY111" fmla="*/ 300567 h 2091267"/>
              <a:gd name="connsiteX112" fmla="*/ 1854200 w 2933700"/>
              <a:gd name="connsiteY112" fmla="*/ 241300 h 2091267"/>
              <a:gd name="connsiteX113" fmla="*/ 1862666 w 2933700"/>
              <a:gd name="connsiteY113" fmla="*/ 186267 h 2091267"/>
              <a:gd name="connsiteX114" fmla="*/ 1824566 w 2933700"/>
              <a:gd name="connsiteY114" fmla="*/ 160867 h 2091267"/>
              <a:gd name="connsiteX115" fmla="*/ 1816100 w 2933700"/>
              <a:gd name="connsiteY115" fmla="*/ 114300 h 2091267"/>
              <a:gd name="connsiteX116" fmla="*/ 1752602 w 2933700"/>
              <a:gd name="connsiteY116" fmla="*/ 63487 h 2091267"/>
              <a:gd name="connsiteX117" fmla="*/ 1689100 w 2933700"/>
              <a:gd name="connsiteY117" fmla="*/ 122767 h 2091267"/>
              <a:gd name="connsiteX118" fmla="*/ 1651000 w 2933700"/>
              <a:gd name="connsiteY118" fmla="*/ 232834 h 2091267"/>
              <a:gd name="connsiteX119" fmla="*/ 1600200 w 2933700"/>
              <a:gd name="connsiteY119" fmla="*/ 300567 h 2091267"/>
              <a:gd name="connsiteX120" fmla="*/ 1532470 w 2933700"/>
              <a:gd name="connsiteY120" fmla="*/ 270917 h 2091267"/>
              <a:gd name="connsiteX121" fmla="*/ 1460500 w 2933700"/>
              <a:gd name="connsiteY121" fmla="*/ 317500 h 2091267"/>
              <a:gd name="connsiteX122" fmla="*/ 1413933 w 2933700"/>
              <a:gd name="connsiteY122" fmla="*/ 245534 h 2091267"/>
              <a:gd name="connsiteX123" fmla="*/ 1430866 w 2933700"/>
              <a:gd name="connsiteY123" fmla="*/ 190500 h 2091267"/>
              <a:gd name="connsiteX124" fmla="*/ 1384300 w 2933700"/>
              <a:gd name="connsiteY124" fmla="*/ 105834 h 2091267"/>
              <a:gd name="connsiteX125" fmla="*/ 1380066 w 2933700"/>
              <a:gd name="connsiteY125"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90800 w 2933700"/>
              <a:gd name="connsiteY101" fmla="*/ 575734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52139 w 2933700"/>
              <a:gd name="connsiteY105" fmla="*/ 97362 h 2091267"/>
              <a:gd name="connsiteX106" fmla="*/ 2218265 w 2933700"/>
              <a:gd name="connsiteY106" fmla="*/ 139683 h 2091267"/>
              <a:gd name="connsiteX107" fmla="*/ 2142066 w 2933700"/>
              <a:gd name="connsiteY107" fmla="*/ 127000 h 2091267"/>
              <a:gd name="connsiteX108" fmla="*/ 2116666 w 2933700"/>
              <a:gd name="connsiteY108" fmla="*/ 46567 h 2091267"/>
              <a:gd name="connsiteX109" fmla="*/ 2105335 w 2933700"/>
              <a:gd name="connsiteY109" fmla="*/ 30312 h 2091267"/>
              <a:gd name="connsiteX110" fmla="*/ 1981200 w 2933700"/>
              <a:gd name="connsiteY110" fmla="*/ 101600 h 2091267"/>
              <a:gd name="connsiteX111" fmla="*/ 1892300 w 2933700"/>
              <a:gd name="connsiteY111" fmla="*/ 300567 h 2091267"/>
              <a:gd name="connsiteX112" fmla="*/ 1854200 w 2933700"/>
              <a:gd name="connsiteY112" fmla="*/ 241300 h 2091267"/>
              <a:gd name="connsiteX113" fmla="*/ 1862666 w 2933700"/>
              <a:gd name="connsiteY113" fmla="*/ 186267 h 2091267"/>
              <a:gd name="connsiteX114" fmla="*/ 1824566 w 2933700"/>
              <a:gd name="connsiteY114" fmla="*/ 160867 h 2091267"/>
              <a:gd name="connsiteX115" fmla="*/ 1816100 w 2933700"/>
              <a:gd name="connsiteY115" fmla="*/ 114300 h 2091267"/>
              <a:gd name="connsiteX116" fmla="*/ 1752602 w 2933700"/>
              <a:gd name="connsiteY116" fmla="*/ 63487 h 2091267"/>
              <a:gd name="connsiteX117" fmla="*/ 1689100 w 2933700"/>
              <a:gd name="connsiteY117" fmla="*/ 122767 h 2091267"/>
              <a:gd name="connsiteX118" fmla="*/ 1651000 w 2933700"/>
              <a:gd name="connsiteY118" fmla="*/ 232834 h 2091267"/>
              <a:gd name="connsiteX119" fmla="*/ 1600200 w 2933700"/>
              <a:gd name="connsiteY119" fmla="*/ 300567 h 2091267"/>
              <a:gd name="connsiteX120" fmla="*/ 1532470 w 2933700"/>
              <a:gd name="connsiteY120" fmla="*/ 270917 h 2091267"/>
              <a:gd name="connsiteX121" fmla="*/ 1460500 w 2933700"/>
              <a:gd name="connsiteY121" fmla="*/ 317500 h 2091267"/>
              <a:gd name="connsiteX122" fmla="*/ 1413933 w 2933700"/>
              <a:gd name="connsiteY122" fmla="*/ 245534 h 2091267"/>
              <a:gd name="connsiteX123" fmla="*/ 1430866 w 2933700"/>
              <a:gd name="connsiteY123" fmla="*/ 190500 h 2091267"/>
              <a:gd name="connsiteX124" fmla="*/ 1384300 w 2933700"/>
              <a:gd name="connsiteY124" fmla="*/ 105834 h 2091267"/>
              <a:gd name="connsiteX125" fmla="*/ 1380066 w 2933700"/>
              <a:gd name="connsiteY125"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516467 h 2091267"/>
              <a:gd name="connsiteX101" fmla="*/ 2582331 w 2933700"/>
              <a:gd name="connsiteY101" fmla="*/ 571496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52139 w 2933700"/>
              <a:gd name="connsiteY105" fmla="*/ 97362 h 2091267"/>
              <a:gd name="connsiteX106" fmla="*/ 2218265 w 2933700"/>
              <a:gd name="connsiteY106" fmla="*/ 139683 h 2091267"/>
              <a:gd name="connsiteX107" fmla="*/ 2142066 w 2933700"/>
              <a:gd name="connsiteY107" fmla="*/ 127000 h 2091267"/>
              <a:gd name="connsiteX108" fmla="*/ 2116666 w 2933700"/>
              <a:gd name="connsiteY108" fmla="*/ 46567 h 2091267"/>
              <a:gd name="connsiteX109" fmla="*/ 2105335 w 2933700"/>
              <a:gd name="connsiteY109" fmla="*/ 30312 h 2091267"/>
              <a:gd name="connsiteX110" fmla="*/ 1981200 w 2933700"/>
              <a:gd name="connsiteY110" fmla="*/ 101600 h 2091267"/>
              <a:gd name="connsiteX111" fmla="*/ 1892300 w 2933700"/>
              <a:gd name="connsiteY111" fmla="*/ 300567 h 2091267"/>
              <a:gd name="connsiteX112" fmla="*/ 1854200 w 2933700"/>
              <a:gd name="connsiteY112" fmla="*/ 241300 h 2091267"/>
              <a:gd name="connsiteX113" fmla="*/ 1862666 w 2933700"/>
              <a:gd name="connsiteY113" fmla="*/ 186267 h 2091267"/>
              <a:gd name="connsiteX114" fmla="*/ 1824566 w 2933700"/>
              <a:gd name="connsiteY114" fmla="*/ 160867 h 2091267"/>
              <a:gd name="connsiteX115" fmla="*/ 1816100 w 2933700"/>
              <a:gd name="connsiteY115" fmla="*/ 114300 h 2091267"/>
              <a:gd name="connsiteX116" fmla="*/ 1752602 w 2933700"/>
              <a:gd name="connsiteY116" fmla="*/ 63487 h 2091267"/>
              <a:gd name="connsiteX117" fmla="*/ 1689100 w 2933700"/>
              <a:gd name="connsiteY117" fmla="*/ 122767 h 2091267"/>
              <a:gd name="connsiteX118" fmla="*/ 1651000 w 2933700"/>
              <a:gd name="connsiteY118" fmla="*/ 232834 h 2091267"/>
              <a:gd name="connsiteX119" fmla="*/ 1600200 w 2933700"/>
              <a:gd name="connsiteY119" fmla="*/ 300567 h 2091267"/>
              <a:gd name="connsiteX120" fmla="*/ 1532470 w 2933700"/>
              <a:gd name="connsiteY120" fmla="*/ 270917 h 2091267"/>
              <a:gd name="connsiteX121" fmla="*/ 1460500 w 2933700"/>
              <a:gd name="connsiteY121" fmla="*/ 317500 h 2091267"/>
              <a:gd name="connsiteX122" fmla="*/ 1413933 w 2933700"/>
              <a:gd name="connsiteY122" fmla="*/ 245534 h 2091267"/>
              <a:gd name="connsiteX123" fmla="*/ 1430866 w 2933700"/>
              <a:gd name="connsiteY123" fmla="*/ 190500 h 2091267"/>
              <a:gd name="connsiteX124" fmla="*/ 1384300 w 2933700"/>
              <a:gd name="connsiteY124" fmla="*/ 105834 h 2091267"/>
              <a:gd name="connsiteX125" fmla="*/ 1380066 w 2933700"/>
              <a:gd name="connsiteY125"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65100 w 2933700"/>
              <a:gd name="connsiteY33" fmla="*/ 1219200 h 2091267"/>
              <a:gd name="connsiteX34" fmla="*/ 203200 w 2933700"/>
              <a:gd name="connsiteY34" fmla="*/ 1227667 h 2091267"/>
              <a:gd name="connsiteX35" fmla="*/ 198966 w 2933700"/>
              <a:gd name="connsiteY35" fmla="*/ 1316567 h 2091267"/>
              <a:gd name="connsiteX36" fmla="*/ 169333 w 2933700"/>
              <a:gd name="connsiteY36" fmla="*/ 1320800 h 2091267"/>
              <a:gd name="connsiteX37" fmla="*/ 182033 w 2933700"/>
              <a:gd name="connsiteY37" fmla="*/ 1354667 h 2091267"/>
              <a:gd name="connsiteX38" fmla="*/ 76200 w 2933700"/>
              <a:gd name="connsiteY38" fmla="*/ 1477434 h 2091267"/>
              <a:gd name="connsiteX39" fmla="*/ 80433 w 2933700"/>
              <a:gd name="connsiteY39" fmla="*/ 1524000 h 2091267"/>
              <a:gd name="connsiteX40" fmla="*/ 42333 w 2933700"/>
              <a:gd name="connsiteY40" fmla="*/ 1528234 h 2091267"/>
              <a:gd name="connsiteX41" fmla="*/ 25400 w 2933700"/>
              <a:gd name="connsiteY41" fmla="*/ 1562100 h 2091267"/>
              <a:gd name="connsiteX42" fmla="*/ 12700 w 2933700"/>
              <a:gd name="connsiteY42" fmla="*/ 1587500 h 2091267"/>
              <a:gd name="connsiteX43" fmla="*/ 0 w 2933700"/>
              <a:gd name="connsiteY43" fmla="*/ 1659467 h 2091267"/>
              <a:gd name="connsiteX44" fmla="*/ 0 w 2933700"/>
              <a:gd name="connsiteY44" fmla="*/ 1676400 h 2091267"/>
              <a:gd name="connsiteX45" fmla="*/ 156633 w 2933700"/>
              <a:gd name="connsiteY45" fmla="*/ 1799167 h 2091267"/>
              <a:gd name="connsiteX46" fmla="*/ 296333 w 2933700"/>
              <a:gd name="connsiteY46" fmla="*/ 1765300 h 2091267"/>
              <a:gd name="connsiteX47" fmla="*/ 330200 w 2933700"/>
              <a:gd name="connsiteY47" fmla="*/ 1794934 h 2091267"/>
              <a:gd name="connsiteX48" fmla="*/ 474133 w 2933700"/>
              <a:gd name="connsiteY48" fmla="*/ 1794934 h 2091267"/>
              <a:gd name="connsiteX49" fmla="*/ 529166 w 2933700"/>
              <a:gd name="connsiteY49" fmla="*/ 1807634 h 2091267"/>
              <a:gd name="connsiteX50" fmla="*/ 571500 w 2933700"/>
              <a:gd name="connsiteY50" fmla="*/ 1769534 h 2091267"/>
              <a:gd name="connsiteX51" fmla="*/ 567266 w 2933700"/>
              <a:gd name="connsiteY51" fmla="*/ 1701800 h 2091267"/>
              <a:gd name="connsiteX52" fmla="*/ 592666 w 2933700"/>
              <a:gd name="connsiteY52" fmla="*/ 1680634 h 2091267"/>
              <a:gd name="connsiteX53" fmla="*/ 808566 w 2933700"/>
              <a:gd name="connsiteY53" fmla="*/ 1739900 h 2091267"/>
              <a:gd name="connsiteX54" fmla="*/ 859366 w 2933700"/>
              <a:gd name="connsiteY54" fmla="*/ 1794934 h 2091267"/>
              <a:gd name="connsiteX55" fmla="*/ 948266 w 2933700"/>
              <a:gd name="connsiteY55" fmla="*/ 1790700 h 2091267"/>
              <a:gd name="connsiteX56" fmla="*/ 1024466 w 2933700"/>
              <a:gd name="connsiteY56" fmla="*/ 1879600 h 2091267"/>
              <a:gd name="connsiteX57" fmla="*/ 1037166 w 2933700"/>
              <a:gd name="connsiteY57" fmla="*/ 1841500 h 2091267"/>
              <a:gd name="connsiteX58" fmla="*/ 1075266 w 2933700"/>
              <a:gd name="connsiteY58" fmla="*/ 1849967 h 2091267"/>
              <a:gd name="connsiteX59" fmla="*/ 1206500 w 2933700"/>
              <a:gd name="connsiteY59" fmla="*/ 1905000 h 2091267"/>
              <a:gd name="connsiteX60" fmla="*/ 1193800 w 2933700"/>
              <a:gd name="connsiteY60" fmla="*/ 1960034 h 2091267"/>
              <a:gd name="connsiteX61" fmla="*/ 1286933 w 2933700"/>
              <a:gd name="connsiteY61" fmla="*/ 1989667 h 2091267"/>
              <a:gd name="connsiteX62" fmla="*/ 1325033 w 2933700"/>
              <a:gd name="connsiteY62" fmla="*/ 2070100 h 2091267"/>
              <a:gd name="connsiteX63" fmla="*/ 1371600 w 2933700"/>
              <a:gd name="connsiteY63" fmla="*/ 2082800 h 2091267"/>
              <a:gd name="connsiteX64" fmla="*/ 1418166 w 2933700"/>
              <a:gd name="connsiteY64" fmla="*/ 2023534 h 2091267"/>
              <a:gd name="connsiteX65" fmla="*/ 1515533 w 2933700"/>
              <a:gd name="connsiteY65" fmla="*/ 2036234 h 2091267"/>
              <a:gd name="connsiteX66" fmla="*/ 1562100 w 2933700"/>
              <a:gd name="connsiteY66" fmla="*/ 2044700 h 2091267"/>
              <a:gd name="connsiteX67" fmla="*/ 1638300 w 2933700"/>
              <a:gd name="connsiteY67" fmla="*/ 2091267 h 2091267"/>
              <a:gd name="connsiteX68" fmla="*/ 1718733 w 2933700"/>
              <a:gd name="connsiteY68" fmla="*/ 2087034 h 2091267"/>
              <a:gd name="connsiteX69" fmla="*/ 1727200 w 2933700"/>
              <a:gd name="connsiteY69" fmla="*/ 2048934 h 2091267"/>
              <a:gd name="connsiteX70" fmla="*/ 1837266 w 2933700"/>
              <a:gd name="connsiteY70" fmla="*/ 1993900 h 2091267"/>
              <a:gd name="connsiteX71" fmla="*/ 1896533 w 2933700"/>
              <a:gd name="connsiteY71" fmla="*/ 1985434 h 2091267"/>
              <a:gd name="connsiteX72" fmla="*/ 2006600 w 2933700"/>
              <a:gd name="connsiteY72" fmla="*/ 2010834 h 2091267"/>
              <a:gd name="connsiteX73" fmla="*/ 1938866 w 2933700"/>
              <a:gd name="connsiteY73" fmla="*/ 1934634 h 2091267"/>
              <a:gd name="connsiteX74" fmla="*/ 1938866 w 2933700"/>
              <a:gd name="connsiteY74" fmla="*/ 1583267 h 2091267"/>
              <a:gd name="connsiteX75" fmla="*/ 1976966 w 2933700"/>
              <a:gd name="connsiteY75" fmla="*/ 1515534 h 2091267"/>
              <a:gd name="connsiteX76" fmla="*/ 2006600 w 2933700"/>
              <a:gd name="connsiteY76" fmla="*/ 1447800 h 2091267"/>
              <a:gd name="connsiteX77" fmla="*/ 2036233 w 2933700"/>
              <a:gd name="connsiteY77" fmla="*/ 1413934 h 2091267"/>
              <a:gd name="connsiteX78" fmla="*/ 2108200 w 2933700"/>
              <a:gd name="connsiteY78" fmla="*/ 1358900 h 2091267"/>
              <a:gd name="connsiteX79" fmla="*/ 2209800 w 2933700"/>
              <a:gd name="connsiteY79" fmla="*/ 1350434 h 2091267"/>
              <a:gd name="connsiteX80" fmla="*/ 2273300 w 2933700"/>
              <a:gd name="connsiteY80" fmla="*/ 1265767 h 2091267"/>
              <a:gd name="connsiteX81" fmla="*/ 2408766 w 2933700"/>
              <a:gd name="connsiteY81" fmla="*/ 1176867 h 2091267"/>
              <a:gd name="connsiteX82" fmla="*/ 2527300 w 2933700"/>
              <a:gd name="connsiteY82" fmla="*/ 1134534 h 2091267"/>
              <a:gd name="connsiteX83" fmla="*/ 2565400 w 2933700"/>
              <a:gd name="connsiteY83" fmla="*/ 1189567 h 2091267"/>
              <a:gd name="connsiteX84" fmla="*/ 2595033 w 2933700"/>
              <a:gd name="connsiteY84" fmla="*/ 1206500 h 2091267"/>
              <a:gd name="connsiteX85" fmla="*/ 2611966 w 2933700"/>
              <a:gd name="connsiteY85" fmla="*/ 1206500 h 2091267"/>
              <a:gd name="connsiteX86" fmla="*/ 2650066 w 2933700"/>
              <a:gd name="connsiteY86" fmla="*/ 1130300 h 2091267"/>
              <a:gd name="connsiteX87" fmla="*/ 2722033 w 2933700"/>
              <a:gd name="connsiteY87" fmla="*/ 1109134 h 2091267"/>
              <a:gd name="connsiteX88" fmla="*/ 2713566 w 2933700"/>
              <a:gd name="connsiteY88" fmla="*/ 1083734 h 2091267"/>
              <a:gd name="connsiteX89" fmla="*/ 2768600 w 2933700"/>
              <a:gd name="connsiteY89" fmla="*/ 1024467 h 2091267"/>
              <a:gd name="connsiteX90" fmla="*/ 2810933 w 2933700"/>
              <a:gd name="connsiteY90" fmla="*/ 1024467 h 2091267"/>
              <a:gd name="connsiteX91" fmla="*/ 2827866 w 2933700"/>
              <a:gd name="connsiteY91" fmla="*/ 901700 h 2091267"/>
              <a:gd name="connsiteX92" fmla="*/ 2933700 w 2933700"/>
              <a:gd name="connsiteY92" fmla="*/ 778934 h 2091267"/>
              <a:gd name="connsiteX93" fmla="*/ 2857500 w 2933700"/>
              <a:gd name="connsiteY93" fmla="*/ 690034 h 2091267"/>
              <a:gd name="connsiteX94" fmla="*/ 2853266 w 2933700"/>
              <a:gd name="connsiteY94" fmla="*/ 609600 h 2091267"/>
              <a:gd name="connsiteX95" fmla="*/ 2832100 w 2933700"/>
              <a:gd name="connsiteY95" fmla="*/ 563034 h 2091267"/>
              <a:gd name="connsiteX96" fmla="*/ 2751666 w 2933700"/>
              <a:gd name="connsiteY96" fmla="*/ 533400 h 2091267"/>
              <a:gd name="connsiteX97" fmla="*/ 2726266 w 2933700"/>
              <a:gd name="connsiteY97" fmla="*/ 520700 h 2091267"/>
              <a:gd name="connsiteX98" fmla="*/ 2709333 w 2933700"/>
              <a:gd name="connsiteY98" fmla="*/ 520700 h 2091267"/>
              <a:gd name="connsiteX99" fmla="*/ 2683933 w 2933700"/>
              <a:gd name="connsiteY99" fmla="*/ 554567 h 2091267"/>
              <a:gd name="connsiteX100" fmla="*/ 2679700 w 2933700"/>
              <a:gd name="connsiteY100" fmla="*/ 499517 h 2091267"/>
              <a:gd name="connsiteX101" fmla="*/ 2582331 w 2933700"/>
              <a:gd name="connsiteY101" fmla="*/ 571496 h 2091267"/>
              <a:gd name="connsiteX102" fmla="*/ 2484966 w 2933700"/>
              <a:gd name="connsiteY102" fmla="*/ 486834 h 2091267"/>
              <a:gd name="connsiteX103" fmla="*/ 2396066 w 2933700"/>
              <a:gd name="connsiteY103" fmla="*/ 313267 h 2091267"/>
              <a:gd name="connsiteX104" fmla="*/ 2383366 w 2933700"/>
              <a:gd name="connsiteY104" fmla="*/ 211667 h 2091267"/>
              <a:gd name="connsiteX105" fmla="*/ 2252139 w 2933700"/>
              <a:gd name="connsiteY105" fmla="*/ 97362 h 2091267"/>
              <a:gd name="connsiteX106" fmla="*/ 2218265 w 2933700"/>
              <a:gd name="connsiteY106" fmla="*/ 139683 h 2091267"/>
              <a:gd name="connsiteX107" fmla="*/ 2142066 w 2933700"/>
              <a:gd name="connsiteY107" fmla="*/ 127000 h 2091267"/>
              <a:gd name="connsiteX108" fmla="*/ 2116666 w 2933700"/>
              <a:gd name="connsiteY108" fmla="*/ 46567 h 2091267"/>
              <a:gd name="connsiteX109" fmla="*/ 2105335 w 2933700"/>
              <a:gd name="connsiteY109" fmla="*/ 30312 h 2091267"/>
              <a:gd name="connsiteX110" fmla="*/ 1981200 w 2933700"/>
              <a:gd name="connsiteY110" fmla="*/ 101600 h 2091267"/>
              <a:gd name="connsiteX111" fmla="*/ 1892300 w 2933700"/>
              <a:gd name="connsiteY111" fmla="*/ 300567 h 2091267"/>
              <a:gd name="connsiteX112" fmla="*/ 1854200 w 2933700"/>
              <a:gd name="connsiteY112" fmla="*/ 241300 h 2091267"/>
              <a:gd name="connsiteX113" fmla="*/ 1862666 w 2933700"/>
              <a:gd name="connsiteY113" fmla="*/ 186267 h 2091267"/>
              <a:gd name="connsiteX114" fmla="*/ 1824566 w 2933700"/>
              <a:gd name="connsiteY114" fmla="*/ 160867 h 2091267"/>
              <a:gd name="connsiteX115" fmla="*/ 1816100 w 2933700"/>
              <a:gd name="connsiteY115" fmla="*/ 114300 h 2091267"/>
              <a:gd name="connsiteX116" fmla="*/ 1752602 w 2933700"/>
              <a:gd name="connsiteY116" fmla="*/ 63487 h 2091267"/>
              <a:gd name="connsiteX117" fmla="*/ 1689100 w 2933700"/>
              <a:gd name="connsiteY117" fmla="*/ 122767 h 2091267"/>
              <a:gd name="connsiteX118" fmla="*/ 1651000 w 2933700"/>
              <a:gd name="connsiteY118" fmla="*/ 232834 h 2091267"/>
              <a:gd name="connsiteX119" fmla="*/ 1600200 w 2933700"/>
              <a:gd name="connsiteY119" fmla="*/ 300567 h 2091267"/>
              <a:gd name="connsiteX120" fmla="*/ 1532470 w 2933700"/>
              <a:gd name="connsiteY120" fmla="*/ 270917 h 2091267"/>
              <a:gd name="connsiteX121" fmla="*/ 1460500 w 2933700"/>
              <a:gd name="connsiteY121" fmla="*/ 317500 h 2091267"/>
              <a:gd name="connsiteX122" fmla="*/ 1413933 w 2933700"/>
              <a:gd name="connsiteY122" fmla="*/ 245534 h 2091267"/>
              <a:gd name="connsiteX123" fmla="*/ 1430866 w 2933700"/>
              <a:gd name="connsiteY123" fmla="*/ 190500 h 2091267"/>
              <a:gd name="connsiteX124" fmla="*/ 1384300 w 2933700"/>
              <a:gd name="connsiteY124" fmla="*/ 105834 h 2091267"/>
              <a:gd name="connsiteX125" fmla="*/ 1380066 w 2933700"/>
              <a:gd name="connsiteY125"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203200 w 2933700"/>
              <a:gd name="connsiteY33" fmla="*/ 1227667 h 2091267"/>
              <a:gd name="connsiteX34" fmla="*/ 198966 w 2933700"/>
              <a:gd name="connsiteY34" fmla="*/ 1316567 h 2091267"/>
              <a:gd name="connsiteX35" fmla="*/ 169333 w 2933700"/>
              <a:gd name="connsiteY35" fmla="*/ 1320800 h 2091267"/>
              <a:gd name="connsiteX36" fmla="*/ 182033 w 2933700"/>
              <a:gd name="connsiteY36" fmla="*/ 1354667 h 2091267"/>
              <a:gd name="connsiteX37" fmla="*/ 76200 w 2933700"/>
              <a:gd name="connsiteY37" fmla="*/ 1477434 h 2091267"/>
              <a:gd name="connsiteX38" fmla="*/ 80433 w 2933700"/>
              <a:gd name="connsiteY38" fmla="*/ 1524000 h 2091267"/>
              <a:gd name="connsiteX39" fmla="*/ 42333 w 2933700"/>
              <a:gd name="connsiteY39" fmla="*/ 1528234 h 2091267"/>
              <a:gd name="connsiteX40" fmla="*/ 25400 w 2933700"/>
              <a:gd name="connsiteY40" fmla="*/ 1562100 h 2091267"/>
              <a:gd name="connsiteX41" fmla="*/ 12700 w 2933700"/>
              <a:gd name="connsiteY41" fmla="*/ 1587500 h 2091267"/>
              <a:gd name="connsiteX42" fmla="*/ 0 w 2933700"/>
              <a:gd name="connsiteY42" fmla="*/ 1659467 h 2091267"/>
              <a:gd name="connsiteX43" fmla="*/ 0 w 2933700"/>
              <a:gd name="connsiteY43" fmla="*/ 1676400 h 2091267"/>
              <a:gd name="connsiteX44" fmla="*/ 156633 w 2933700"/>
              <a:gd name="connsiteY44" fmla="*/ 1799167 h 2091267"/>
              <a:gd name="connsiteX45" fmla="*/ 296333 w 2933700"/>
              <a:gd name="connsiteY45" fmla="*/ 1765300 h 2091267"/>
              <a:gd name="connsiteX46" fmla="*/ 330200 w 2933700"/>
              <a:gd name="connsiteY46" fmla="*/ 1794934 h 2091267"/>
              <a:gd name="connsiteX47" fmla="*/ 474133 w 2933700"/>
              <a:gd name="connsiteY47" fmla="*/ 1794934 h 2091267"/>
              <a:gd name="connsiteX48" fmla="*/ 529166 w 2933700"/>
              <a:gd name="connsiteY48" fmla="*/ 1807634 h 2091267"/>
              <a:gd name="connsiteX49" fmla="*/ 571500 w 2933700"/>
              <a:gd name="connsiteY49" fmla="*/ 1769534 h 2091267"/>
              <a:gd name="connsiteX50" fmla="*/ 567266 w 2933700"/>
              <a:gd name="connsiteY50" fmla="*/ 1701800 h 2091267"/>
              <a:gd name="connsiteX51" fmla="*/ 592666 w 2933700"/>
              <a:gd name="connsiteY51" fmla="*/ 1680634 h 2091267"/>
              <a:gd name="connsiteX52" fmla="*/ 808566 w 2933700"/>
              <a:gd name="connsiteY52" fmla="*/ 1739900 h 2091267"/>
              <a:gd name="connsiteX53" fmla="*/ 859366 w 2933700"/>
              <a:gd name="connsiteY53" fmla="*/ 1794934 h 2091267"/>
              <a:gd name="connsiteX54" fmla="*/ 948266 w 2933700"/>
              <a:gd name="connsiteY54" fmla="*/ 1790700 h 2091267"/>
              <a:gd name="connsiteX55" fmla="*/ 1024466 w 2933700"/>
              <a:gd name="connsiteY55" fmla="*/ 1879600 h 2091267"/>
              <a:gd name="connsiteX56" fmla="*/ 1037166 w 2933700"/>
              <a:gd name="connsiteY56" fmla="*/ 1841500 h 2091267"/>
              <a:gd name="connsiteX57" fmla="*/ 1075266 w 2933700"/>
              <a:gd name="connsiteY57" fmla="*/ 1849967 h 2091267"/>
              <a:gd name="connsiteX58" fmla="*/ 1206500 w 2933700"/>
              <a:gd name="connsiteY58" fmla="*/ 1905000 h 2091267"/>
              <a:gd name="connsiteX59" fmla="*/ 1193800 w 2933700"/>
              <a:gd name="connsiteY59" fmla="*/ 1960034 h 2091267"/>
              <a:gd name="connsiteX60" fmla="*/ 1286933 w 2933700"/>
              <a:gd name="connsiteY60" fmla="*/ 1989667 h 2091267"/>
              <a:gd name="connsiteX61" fmla="*/ 1325033 w 2933700"/>
              <a:gd name="connsiteY61" fmla="*/ 2070100 h 2091267"/>
              <a:gd name="connsiteX62" fmla="*/ 1371600 w 2933700"/>
              <a:gd name="connsiteY62" fmla="*/ 2082800 h 2091267"/>
              <a:gd name="connsiteX63" fmla="*/ 1418166 w 2933700"/>
              <a:gd name="connsiteY63" fmla="*/ 2023534 h 2091267"/>
              <a:gd name="connsiteX64" fmla="*/ 1515533 w 2933700"/>
              <a:gd name="connsiteY64" fmla="*/ 2036234 h 2091267"/>
              <a:gd name="connsiteX65" fmla="*/ 1562100 w 2933700"/>
              <a:gd name="connsiteY65" fmla="*/ 2044700 h 2091267"/>
              <a:gd name="connsiteX66" fmla="*/ 1638300 w 2933700"/>
              <a:gd name="connsiteY66" fmla="*/ 2091267 h 2091267"/>
              <a:gd name="connsiteX67" fmla="*/ 1718733 w 2933700"/>
              <a:gd name="connsiteY67" fmla="*/ 2087034 h 2091267"/>
              <a:gd name="connsiteX68" fmla="*/ 1727200 w 2933700"/>
              <a:gd name="connsiteY68" fmla="*/ 2048934 h 2091267"/>
              <a:gd name="connsiteX69" fmla="*/ 1837266 w 2933700"/>
              <a:gd name="connsiteY69" fmla="*/ 1993900 h 2091267"/>
              <a:gd name="connsiteX70" fmla="*/ 1896533 w 2933700"/>
              <a:gd name="connsiteY70" fmla="*/ 1985434 h 2091267"/>
              <a:gd name="connsiteX71" fmla="*/ 2006600 w 2933700"/>
              <a:gd name="connsiteY71" fmla="*/ 2010834 h 2091267"/>
              <a:gd name="connsiteX72" fmla="*/ 1938866 w 2933700"/>
              <a:gd name="connsiteY72" fmla="*/ 1934634 h 2091267"/>
              <a:gd name="connsiteX73" fmla="*/ 1938866 w 2933700"/>
              <a:gd name="connsiteY73" fmla="*/ 1583267 h 2091267"/>
              <a:gd name="connsiteX74" fmla="*/ 1976966 w 2933700"/>
              <a:gd name="connsiteY74" fmla="*/ 1515534 h 2091267"/>
              <a:gd name="connsiteX75" fmla="*/ 2006600 w 2933700"/>
              <a:gd name="connsiteY75" fmla="*/ 1447800 h 2091267"/>
              <a:gd name="connsiteX76" fmla="*/ 2036233 w 2933700"/>
              <a:gd name="connsiteY76" fmla="*/ 1413934 h 2091267"/>
              <a:gd name="connsiteX77" fmla="*/ 2108200 w 2933700"/>
              <a:gd name="connsiteY77" fmla="*/ 1358900 h 2091267"/>
              <a:gd name="connsiteX78" fmla="*/ 2209800 w 2933700"/>
              <a:gd name="connsiteY78" fmla="*/ 1350434 h 2091267"/>
              <a:gd name="connsiteX79" fmla="*/ 2273300 w 2933700"/>
              <a:gd name="connsiteY79" fmla="*/ 1265767 h 2091267"/>
              <a:gd name="connsiteX80" fmla="*/ 2408766 w 2933700"/>
              <a:gd name="connsiteY80" fmla="*/ 1176867 h 2091267"/>
              <a:gd name="connsiteX81" fmla="*/ 2527300 w 2933700"/>
              <a:gd name="connsiteY81" fmla="*/ 1134534 h 2091267"/>
              <a:gd name="connsiteX82" fmla="*/ 2565400 w 2933700"/>
              <a:gd name="connsiteY82" fmla="*/ 1189567 h 2091267"/>
              <a:gd name="connsiteX83" fmla="*/ 2595033 w 2933700"/>
              <a:gd name="connsiteY83" fmla="*/ 1206500 h 2091267"/>
              <a:gd name="connsiteX84" fmla="*/ 2611966 w 2933700"/>
              <a:gd name="connsiteY84" fmla="*/ 1206500 h 2091267"/>
              <a:gd name="connsiteX85" fmla="*/ 2650066 w 2933700"/>
              <a:gd name="connsiteY85" fmla="*/ 1130300 h 2091267"/>
              <a:gd name="connsiteX86" fmla="*/ 2722033 w 2933700"/>
              <a:gd name="connsiteY86" fmla="*/ 1109134 h 2091267"/>
              <a:gd name="connsiteX87" fmla="*/ 2713566 w 2933700"/>
              <a:gd name="connsiteY87" fmla="*/ 1083734 h 2091267"/>
              <a:gd name="connsiteX88" fmla="*/ 2768600 w 2933700"/>
              <a:gd name="connsiteY88" fmla="*/ 1024467 h 2091267"/>
              <a:gd name="connsiteX89" fmla="*/ 2810933 w 2933700"/>
              <a:gd name="connsiteY89" fmla="*/ 1024467 h 2091267"/>
              <a:gd name="connsiteX90" fmla="*/ 2827866 w 2933700"/>
              <a:gd name="connsiteY90" fmla="*/ 901700 h 2091267"/>
              <a:gd name="connsiteX91" fmla="*/ 2933700 w 2933700"/>
              <a:gd name="connsiteY91" fmla="*/ 778934 h 2091267"/>
              <a:gd name="connsiteX92" fmla="*/ 2857500 w 2933700"/>
              <a:gd name="connsiteY92" fmla="*/ 690034 h 2091267"/>
              <a:gd name="connsiteX93" fmla="*/ 2853266 w 2933700"/>
              <a:gd name="connsiteY93" fmla="*/ 609600 h 2091267"/>
              <a:gd name="connsiteX94" fmla="*/ 2832100 w 2933700"/>
              <a:gd name="connsiteY94" fmla="*/ 563034 h 2091267"/>
              <a:gd name="connsiteX95" fmla="*/ 2751666 w 2933700"/>
              <a:gd name="connsiteY95" fmla="*/ 533400 h 2091267"/>
              <a:gd name="connsiteX96" fmla="*/ 2726266 w 2933700"/>
              <a:gd name="connsiteY96" fmla="*/ 520700 h 2091267"/>
              <a:gd name="connsiteX97" fmla="*/ 2709333 w 2933700"/>
              <a:gd name="connsiteY97" fmla="*/ 520700 h 2091267"/>
              <a:gd name="connsiteX98" fmla="*/ 2683933 w 2933700"/>
              <a:gd name="connsiteY98" fmla="*/ 554567 h 2091267"/>
              <a:gd name="connsiteX99" fmla="*/ 2679700 w 2933700"/>
              <a:gd name="connsiteY99" fmla="*/ 499517 h 2091267"/>
              <a:gd name="connsiteX100" fmla="*/ 2582331 w 2933700"/>
              <a:gd name="connsiteY100" fmla="*/ 571496 h 2091267"/>
              <a:gd name="connsiteX101" fmla="*/ 2484966 w 2933700"/>
              <a:gd name="connsiteY101" fmla="*/ 486834 h 2091267"/>
              <a:gd name="connsiteX102" fmla="*/ 2396066 w 2933700"/>
              <a:gd name="connsiteY102" fmla="*/ 313267 h 2091267"/>
              <a:gd name="connsiteX103" fmla="*/ 2383366 w 2933700"/>
              <a:gd name="connsiteY103" fmla="*/ 211667 h 2091267"/>
              <a:gd name="connsiteX104" fmla="*/ 2252139 w 2933700"/>
              <a:gd name="connsiteY104" fmla="*/ 97362 h 2091267"/>
              <a:gd name="connsiteX105" fmla="*/ 2218265 w 2933700"/>
              <a:gd name="connsiteY105" fmla="*/ 139683 h 2091267"/>
              <a:gd name="connsiteX106" fmla="*/ 2142066 w 2933700"/>
              <a:gd name="connsiteY106" fmla="*/ 127000 h 2091267"/>
              <a:gd name="connsiteX107" fmla="*/ 2116666 w 2933700"/>
              <a:gd name="connsiteY107" fmla="*/ 46567 h 2091267"/>
              <a:gd name="connsiteX108" fmla="*/ 2105335 w 2933700"/>
              <a:gd name="connsiteY108" fmla="*/ 30312 h 2091267"/>
              <a:gd name="connsiteX109" fmla="*/ 1981200 w 2933700"/>
              <a:gd name="connsiteY109" fmla="*/ 101600 h 2091267"/>
              <a:gd name="connsiteX110" fmla="*/ 1892300 w 2933700"/>
              <a:gd name="connsiteY110" fmla="*/ 300567 h 2091267"/>
              <a:gd name="connsiteX111" fmla="*/ 1854200 w 2933700"/>
              <a:gd name="connsiteY111" fmla="*/ 241300 h 2091267"/>
              <a:gd name="connsiteX112" fmla="*/ 1862666 w 2933700"/>
              <a:gd name="connsiteY112" fmla="*/ 186267 h 2091267"/>
              <a:gd name="connsiteX113" fmla="*/ 1824566 w 2933700"/>
              <a:gd name="connsiteY113" fmla="*/ 160867 h 2091267"/>
              <a:gd name="connsiteX114" fmla="*/ 1816100 w 2933700"/>
              <a:gd name="connsiteY114" fmla="*/ 114300 h 2091267"/>
              <a:gd name="connsiteX115" fmla="*/ 1752602 w 2933700"/>
              <a:gd name="connsiteY115" fmla="*/ 63487 h 2091267"/>
              <a:gd name="connsiteX116" fmla="*/ 1689100 w 2933700"/>
              <a:gd name="connsiteY116" fmla="*/ 122767 h 2091267"/>
              <a:gd name="connsiteX117" fmla="*/ 1651000 w 2933700"/>
              <a:gd name="connsiteY117" fmla="*/ 232834 h 2091267"/>
              <a:gd name="connsiteX118" fmla="*/ 1600200 w 2933700"/>
              <a:gd name="connsiteY118" fmla="*/ 300567 h 2091267"/>
              <a:gd name="connsiteX119" fmla="*/ 1532470 w 2933700"/>
              <a:gd name="connsiteY119" fmla="*/ 270917 h 2091267"/>
              <a:gd name="connsiteX120" fmla="*/ 1460500 w 2933700"/>
              <a:gd name="connsiteY120" fmla="*/ 317500 h 2091267"/>
              <a:gd name="connsiteX121" fmla="*/ 1413933 w 2933700"/>
              <a:gd name="connsiteY121" fmla="*/ 245534 h 2091267"/>
              <a:gd name="connsiteX122" fmla="*/ 1430866 w 2933700"/>
              <a:gd name="connsiteY122" fmla="*/ 190500 h 2091267"/>
              <a:gd name="connsiteX123" fmla="*/ 1384300 w 2933700"/>
              <a:gd name="connsiteY123" fmla="*/ 105834 h 2091267"/>
              <a:gd name="connsiteX124" fmla="*/ 1380066 w 2933700"/>
              <a:gd name="connsiteY124"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77800 w 2933700"/>
              <a:gd name="connsiteY32" fmla="*/ 1185334 h 2091267"/>
              <a:gd name="connsiteX33" fmla="*/ 190497 w 2933700"/>
              <a:gd name="connsiteY33" fmla="*/ 1227667 h 2091267"/>
              <a:gd name="connsiteX34" fmla="*/ 198966 w 2933700"/>
              <a:gd name="connsiteY34" fmla="*/ 1316567 h 2091267"/>
              <a:gd name="connsiteX35" fmla="*/ 169333 w 2933700"/>
              <a:gd name="connsiteY35" fmla="*/ 1320800 h 2091267"/>
              <a:gd name="connsiteX36" fmla="*/ 182033 w 2933700"/>
              <a:gd name="connsiteY36" fmla="*/ 1354667 h 2091267"/>
              <a:gd name="connsiteX37" fmla="*/ 76200 w 2933700"/>
              <a:gd name="connsiteY37" fmla="*/ 1477434 h 2091267"/>
              <a:gd name="connsiteX38" fmla="*/ 80433 w 2933700"/>
              <a:gd name="connsiteY38" fmla="*/ 1524000 h 2091267"/>
              <a:gd name="connsiteX39" fmla="*/ 42333 w 2933700"/>
              <a:gd name="connsiteY39" fmla="*/ 1528234 h 2091267"/>
              <a:gd name="connsiteX40" fmla="*/ 25400 w 2933700"/>
              <a:gd name="connsiteY40" fmla="*/ 1562100 h 2091267"/>
              <a:gd name="connsiteX41" fmla="*/ 12700 w 2933700"/>
              <a:gd name="connsiteY41" fmla="*/ 1587500 h 2091267"/>
              <a:gd name="connsiteX42" fmla="*/ 0 w 2933700"/>
              <a:gd name="connsiteY42" fmla="*/ 1659467 h 2091267"/>
              <a:gd name="connsiteX43" fmla="*/ 0 w 2933700"/>
              <a:gd name="connsiteY43" fmla="*/ 1676400 h 2091267"/>
              <a:gd name="connsiteX44" fmla="*/ 156633 w 2933700"/>
              <a:gd name="connsiteY44" fmla="*/ 1799167 h 2091267"/>
              <a:gd name="connsiteX45" fmla="*/ 296333 w 2933700"/>
              <a:gd name="connsiteY45" fmla="*/ 1765300 h 2091267"/>
              <a:gd name="connsiteX46" fmla="*/ 330200 w 2933700"/>
              <a:gd name="connsiteY46" fmla="*/ 1794934 h 2091267"/>
              <a:gd name="connsiteX47" fmla="*/ 474133 w 2933700"/>
              <a:gd name="connsiteY47" fmla="*/ 1794934 h 2091267"/>
              <a:gd name="connsiteX48" fmla="*/ 529166 w 2933700"/>
              <a:gd name="connsiteY48" fmla="*/ 1807634 h 2091267"/>
              <a:gd name="connsiteX49" fmla="*/ 571500 w 2933700"/>
              <a:gd name="connsiteY49" fmla="*/ 1769534 h 2091267"/>
              <a:gd name="connsiteX50" fmla="*/ 567266 w 2933700"/>
              <a:gd name="connsiteY50" fmla="*/ 1701800 h 2091267"/>
              <a:gd name="connsiteX51" fmla="*/ 592666 w 2933700"/>
              <a:gd name="connsiteY51" fmla="*/ 1680634 h 2091267"/>
              <a:gd name="connsiteX52" fmla="*/ 808566 w 2933700"/>
              <a:gd name="connsiteY52" fmla="*/ 1739900 h 2091267"/>
              <a:gd name="connsiteX53" fmla="*/ 859366 w 2933700"/>
              <a:gd name="connsiteY53" fmla="*/ 1794934 h 2091267"/>
              <a:gd name="connsiteX54" fmla="*/ 948266 w 2933700"/>
              <a:gd name="connsiteY54" fmla="*/ 1790700 h 2091267"/>
              <a:gd name="connsiteX55" fmla="*/ 1024466 w 2933700"/>
              <a:gd name="connsiteY55" fmla="*/ 1879600 h 2091267"/>
              <a:gd name="connsiteX56" fmla="*/ 1037166 w 2933700"/>
              <a:gd name="connsiteY56" fmla="*/ 1841500 h 2091267"/>
              <a:gd name="connsiteX57" fmla="*/ 1075266 w 2933700"/>
              <a:gd name="connsiteY57" fmla="*/ 1849967 h 2091267"/>
              <a:gd name="connsiteX58" fmla="*/ 1206500 w 2933700"/>
              <a:gd name="connsiteY58" fmla="*/ 1905000 h 2091267"/>
              <a:gd name="connsiteX59" fmla="*/ 1193800 w 2933700"/>
              <a:gd name="connsiteY59" fmla="*/ 1960034 h 2091267"/>
              <a:gd name="connsiteX60" fmla="*/ 1286933 w 2933700"/>
              <a:gd name="connsiteY60" fmla="*/ 1989667 h 2091267"/>
              <a:gd name="connsiteX61" fmla="*/ 1325033 w 2933700"/>
              <a:gd name="connsiteY61" fmla="*/ 2070100 h 2091267"/>
              <a:gd name="connsiteX62" fmla="*/ 1371600 w 2933700"/>
              <a:gd name="connsiteY62" fmla="*/ 2082800 h 2091267"/>
              <a:gd name="connsiteX63" fmla="*/ 1418166 w 2933700"/>
              <a:gd name="connsiteY63" fmla="*/ 2023534 h 2091267"/>
              <a:gd name="connsiteX64" fmla="*/ 1515533 w 2933700"/>
              <a:gd name="connsiteY64" fmla="*/ 2036234 h 2091267"/>
              <a:gd name="connsiteX65" fmla="*/ 1562100 w 2933700"/>
              <a:gd name="connsiteY65" fmla="*/ 2044700 h 2091267"/>
              <a:gd name="connsiteX66" fmla="*/ 1638300 w 2933700"/>
              <a:gd name="connsiteY66" fmla="*/ 2091267 h 2091267"/>
              <a:gd name="connsiteX67" fmla="*/ 1718733 w 2933700"/>
              <a:gd name="connsiteY67" fmla="*/ 2087034 h 2091267"/>
              <a:gd name="connsiteX68" fmla="*/ 1727200 w 2933700"/>
              <a:gd name="connsiteY68" fmla="*/ 2048934 h 2091267"/>
              <a:gd name="connsiteX69" fmla="*/ 1837266 w 2933700"/>
              <a:gd name="connsiteY69" fmla="*/ 1993900 h 2091267"/>
              <a:gd name="connsiteX70" fmla="*/ 1896533 w 2933700"/>
              <a:gd name="connsiteY70" fmla="*/ 1985434 h 2091267"/>
              <a:gd name="connsiteX71" fmla="*/ 2006600 w 2933700"/>
              <a:gd name="connsiteY71" fmla="*/ 2010834 h 2091267"/>
              <a:gd name="connsiteX72" fmla="*/ 1938866 w 2933700"/>
              <a:gd name="connsiteY72" fmla="*/ 1934634 h 2091267"/>
              <a:gd name="connsiteX73" fmla="*/ 1938866 w 2933700"/>
              <a:gd name="connsiteY73" fmla="*/ 1583267 h 2091267"/>
              <a:gd name="connsiteX74" fmla="*/ 1976966 w 2933700"/>
              <a:gd name="connsiteY74" fmla="*/ 1515534 h 2091267"/>
              <a:gd name="connsiteX75" fmla="*/ 2006600 w 2933700"/>
              <a:gd name="connsiteY75" fmla="*/ 1447800 h 2091267"/>
              <a:gd name="connsiteX76" fmla="*/ 2036233 w 2933700"/>
              <a:gd name="connsiteY76" fmla="*/ 1413934 h 2091267"/>
              <a:gd name="connsiteX77" fmla="*/ 2108200 w 2933700"/>
              <a:gd name="connsiteY77" fmla="*/ 1358900 h 2091267"/>
              <a:gd name="connsiteX78" fmla="*/ 2209800 w 2933700"/>
              <a:gd name="connsiteY78" fmla="*/ 1350434 h 2091267"/>
              <a:gd name="connsiteX79" fmla="*/ 2273300 w 2933700"/>
              <a:gd name="connsiteY79" fmla="*/ 1265767 h 2091267"/>
              <a:gd name="connsiteX80" fmla="*/ 2408766 w 2933700"/>
              <a:gd name="connsiteY80" fmla="*/ 1176867 h 2091267"/>
              <a:gd name="connsiteX81" fmla="*/ 2527300 w 2933700"/>
              <a:gd name="connsiteY81" fmla="*/ 1134534 h 2091267"/>
              <a:gd name="connsiteX82" fmla="*/ 2565400 w 2933700"/>
              <a:gd name="connsiteY82" fmla="*/ 1189567 h 2091267"/>
              <a:gd name="connsiteX83" fmla="*/ 2595033 w 2933700"/>
              <a:gd name="connsiteY83" fmla="*/ 1206500 h 2091267"/>
              <a:gd name="connsiteX84" fmla="*/ 2611966 w 2933700"/>
              <a:gd name="connsiteY84" fmla="*/ 1206500 h 2091267"/>
              <a:gd name="connsiteX85" fmla="*/ 2650066 w 2933700"/>
              <a:gd name="connsiteY85" fmla="*/ 1130300 h 2091267"/>
              <a:gd name="connsiteX86" fmla="*/ 2722033 w 2933700"/>
              <a:gd name="connsiteY86" fmla="*/ 1109134 h 2091267"/>
              <a:gd name="connsiteX87" fmla="*/ 2713566 w 2933700"/>
              <a:gd name="connsiteY87" fmla="*/ 1083734 h 2091267"/>
              <a:gd name="connsiteX88" fmla="*/ 2768600 w 2933700"/>
              <a:gd name="connsiteY88" fmla="*/ 1024467 h 2091267"/>
              <a:gd name="connsiteX89" fmla="*/ 2810933 w 2933700"/>
              <a:gd name="connsiteY89" fmla="*/ 1024467 h 2091267"/>
              <a:gd name="connsiteX90" fmla="*/ 2827866 w 2933700"/>
              <a:gd name="connsiteY90" fmla="*/ 901700 h 2091267"/>
              <a:gd name="connsiteX91" fmla="*/ 2933700 w 2933700"/>
              <a:gd name="connsiteY91" fmla="*/ 778934 h 2091267"/>
              <a:gd name="connsiteX92" fmla="*/ 2857500 w 2933700"/>
              <a:gd name="connsiteY92" fmla="*/ 690034 h 2091267"/>
              <a:gd name="connsiteX93" fmla="*/ 2853266 w 2933700"/>
              <a:gd name="connsiteY93" fmla="*/ 609600 h 2091267"/>
              <a:gd name="connsiteX94" fmla="*/ 2832100 w 2933700"/>
              <a:gd name="connsiteY94" fmla="*/ 563034 h 2091267"/>
              <a:gd name="connsiteX95" fmla="*/ 2751666 w 2933700"/>
              <a:gd name="connsiteY95" fmla="*/ 533400 h 2091267"/>
              <a:gd name="connsiteX96" fmla="*/ 2726266 w 2933700"/>
              <a:gd name="connsiteY96" fmla="*/ 520700 h 2091267"/>
              <a:gd name="connsiteX97" fmla="*/ 2709333 w 2933700"/>
              <a:gd name="connsiteY97" fmla="*/ 520700 h 2091267"/>
              <a:gd name="connsiteX98" fmla="*/ 2683933 w 2933700"/>
              <a:gd name="connsiteY98" fmla="*/ 554567 h 2091267"/>
              <a:gd name="connsiteX99" fmla="*/ 2679700 w 2933700"/>
              <a:gd name="connsiteY99" fmla="*/ 499517 h 2091267"/>
              <a:gd name="connsiteX100" fmla="*/ 2582331 w 2933700"/>
              <a:gd name="connsiteY100" fmla="*/ 571496 h 2091267"/>
              <a:gd name="connsiteX101" fmla="*/ 2484966 w 2933700"/>
              <a:gd name="connsiteY101" fmla="*/ 486834 h 2091267"/>
              <a:gd name="connsiteX102" fmla="*/ 2396066 w 2933700"/>
              <a:gd name="connsiteY102" fmla="*/ 313267 h 2091267"/>
              <a:gd name="connsiteX103" fmla="*/ 2383366 w 2933700"/>
              <a:gd name="connsiteY103" fmla="*/ 211667 h 2091267"/>
              <a:gd name="connsiteX104" fmla="*/ 2252139 w 2933700"/>
              <a:gd name="connsiteY104" fmla="*/ 97362 h 2091267"/>
              <a:gd name="connsiteX105" fmla="*/ 2218265 w 2933700"/>
              <a:gd name="connsiteY105" fmla="*/ 139683 h 2091267"/>
              <a:gd name="connsiteX106" fmla="*/ 2142066 w 2933700"/>
              <a:gd name="connsiteY106" fmla="*/ 127000 h 2091267"/>
              <a:gd name="connsiteX107" fmla="*/ 2116666 w 2933700"/>
              <a:gd name="connsiteY107" fmla="*/ 46567 h 2091267"/>
              <a:gd name="connsiteX108" fmla="*/ 2105335 w 2933700"/>
              <a:gd name="connsiteY108" fmla="*/ 30312 h 2091267"/>
              <a:gd name="connsiteX109" fmla="*/ 1981200 w 2933700"/>
              <a:gd name="connsiteY109" fmla="*/ 101600 h 2091267"/>
              <a:gd name="connsiteX110" fmla="*/ 1892300 w 2933700"/>
              <a:gd name="connsiteY110" fmla="*/ 300567 h 2091267"/>
              <a:gd name="connsiteX111" fmla="*/ 1854200 w 2933700"/>
              <a:gd name="connsiteY111" fmla="*/ 241300 h 2091267"/>
              <a:gd name="connsiteX112" fmla="*/ 1862666 w 2933700"/>
              <a:gd name="connsiteY112" fmla="*/ 186267 h 2091267"/>
              <a:gd name="connsiteX113" fmla="*/ 1824566 w 2933700"/>
              <a:gd name="connsiteY113" fmla="*/ 160867 h 2091267"/>
              <a:gd name="connsiteX114" fmla="*/ 1816100 w 2933700"/>
              <a:gd name="connsiteY114" fmla="*/ 114300 h 2091267"/>
              <a:gd name="connsiteX115" fmla="*/ 1752602 w 2933700"/>
              <a:gd name="connsiteY115" fmla="*/ 63487 h 2091267"/>
              <a:gd name="connsiteX116" fmla="*/ 1689100 w 2933700"/>
              <a:gd name="connsiteY116" fmla="*/ 122767 h 2091267"/>
              <a:gd name="connsiteX117" fmla="*/ 1651000 w 2933700"/>
              <a:gd name="connsiteY117" fmla="*/ 232834 h 2091267"/>
              <a:gd name="connsiteX118" fmla="*/ 1600200 w 2933700"/>
              <a:gd name="connsiteY118" fmla="*/ 300567 h 2091267"/>
              <a:gd name="connsiteX119" fmla="*/ 1532470 w 2933700"/>
              <a:gd name="connsiteY119" fmla="*/ 270917 h 2091267"/>
              <a:gd name="connsiteX120" fmla="*/ 1460500 w 2933700"/>
              <a:gd name="connsiteY120" fmla="*/ 317500 h 2091267"/>
              <a:gd name="connsiteX121" fmla="*/ 1413933 w 2933700"/>
              <a:gd name="connsiteY121" fmla="*/ 245534 h 2091267"/>
              <a:gd name="connsiteX122" fmla="*/ 1430866 w 2933700"/>
              <a:gd name="connsiteY122" fmla="*/ 190500 h 2091267"/>
              <a:gd name="connsiteX123" fmla="*/ 1384300 w 2933700"/>
              <a:gd name="connsiteY123" fmla="*/ 105834 h 2091267"/>
              <a:gd name="connsiteX124" fmla="*/ 1380066 w 2933700"/>
              <a:gd name="connsiteY124"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39700 w 2933700"/>
              <a:gd name="connsiteY31" fmla="*/ 1100667 h 2091267"/>
              <a:gd name="connsiteX32" fmla="*/ 165097 w 2933700"/>
              <a:gd name="connsiteY32" fmla="*/ 1185334 h 2091267"/>
              <a:gd name="connsiteX33" fmla="*/ 190497 w 2933700"/>
              <a:gd name="connsiteY33" fmla="*/ 1227667 h 2091267"/>
              <a:gd name="connsiteX34" fmla="*/ 198966 w 2933700"/>
              <a:gd name="connsiteY34" fmla="*/ 1316567 h 2091267"/>
              <a:gd name="connsiteX35" fmla="*/ 169333 w 2933700"/>
              <a:gd name="connsiteY35" fmla="*/ 1320800 h 2091267"/>
              <a:gd name="connsiteX36" fmla="*/ 182033 w 2933700"/>
              <a:gd name="connsiteY36" fmla="*/ 1354667 h 2091267"/>
              <a:gd name="connsiteX37" fmla="*/ 76200 w 2933700"/>
              <a:gd name="connsiteY37" fmla="*/ 1477434 h 2091267"/>
              <a:gd name="connsiteX38" fmla="*/ 80433 w 2933700"/>
              <a:gd name="connsiteY38" fmla="*/ 1524000 h 2091267"/>
              <a:gd name="connsiteX39" fmla="*/ 42333 w 2933700"/>
              <a:gd name="connsiteY39" fmla="*/ 1528234 h 2091267"/>
              <a:gd name="connsiteX40" fmla="*/ 25400 w 2933700"/>
              <a:gd name="connsiteY40" fmla="*/ 1562100 h 2091267"/>
              <a:gd name="connsiteX41" fmla="*/ 12700 w 2933700"/>
              <a:gd name="connsiteY41" fmla="*/ 1587500 h 2091267"/>
              <a:gd name="connsiteX42" fmla="*/ 0 w 2933700"/>
              <a:gd name="connsiteY42" fmla="*/ 1659467 h 2091267"/>
              <a:gd name="connsiteX43" fmla="*/ 0 w 2933700"/>
              <a:gd name="connsiteY43" fmla="*/ 1676400 h 2091267"/>
              <a:gd name="connsiteX44" fmla="*/ 156633 w 2933700"/>
              <a:gd name="connsiteY44" fmla="*/ 1799167 h 2091267"/>
              <a:gd name="connsiteX45" fmla="*/ 296333 w 2933700"/>
              <a:gd name="connsiteY45" fmla="*/ 1765300 h 2091267"/>
              <a:gd name="connsiteX46" fmla="*/ 330200 w 2933700"/>
              <a:gd name="connsiteY46" fmla="*/ 1794934 h 2091267"/>
              <a:gd name="connsiteX47" fmla="*/ 474133 w 2933700"/>
              <a:gd name="connsiteY47" fmla="*/ 1794934 h 2091267"/>
              <a:gd name="connsiteX48" fmla="*/ 529166 w 2933700"/>
              <a:gd name="connsiteY48" fmla="*/ 1807634 h 2091267"/>
              <a:gd name="connsiteX49" fmla="*/ 571500 w 2933700"/>
              <a:gd name="connsiteY49" fmla="*/ 1769534 h 2091267"/>
              <a:gd name="connsiteX50" fmla="*/ 567266 w 2933700"/>
              <a:gd name="connsiteY50" fmla="*/ 1701800 h 2091267"/>
              <a:gd name="connsiteX51" fmla="*/ 592666 w 2933700"/>
              <a:gd name="connsiteY51" fmla="*/ 1680634 h 2091267"/>
              <a:gd name="connsiteX52" fmla="*/ 808566 w 2933700"/>
              <a:gd name="connsiteY52" fmla="*/ 1739900 h 2091267"/>
              <a:gd name="connsiteX53" fmla="*/ 859366 w 2933700"/>
              <a:gd name="connsiteY53" fmla="*/ 1794934 h 2091267"/>
              <a:gd name="connsiteX54" fmla="*/ 948266 w 2933700"/>
              <a:gd name="connsiteY54" fmla="*/ 1790700 h 2091267"/>
              <a:gd name="connsiteX55" fmla="*/ 1024466 w 2933700"/>
              <a:gd name="connsiteY55" fmla="*/ 1879600 h 2091267"/>
              <a:gd name="connsiteX56" fmla="*/ 1037166 w 2933700"/>
              <a:gd name="connsiteY56" fmla="*/ 1841500 h 2091267"/>
              <a:gd name="connsiteX57" fmla="*/ 1075266 w 2933700"/>
              <a:gd name="connsiteY57" fmla="*/ 1849967 h 2091267"/>
              <a:gd name="connsiteX58" fmla="*/ 1206500 w 2933700"/>
              <a:gd name="connsiteY58" fmla="*/ 1905000 h 2091267"/>
              <a:gd name="connsiteX59" fmla="*/ 1193800 w 2933700"/>
              <a:gd name="connsiteY59" fmla="*/ 1960034 h 2091267"/>
              <a:gd name="connsiteX60" fmla="*/ 1286933 w 2933700"/>
              <a:gd name="connsiteY60" fmla="*/ 1989667 h 2091267"/>
              <a:gd name="connsiteX61" fmla="*/ 1325033 w 2933700"/>
              <a:gd name="connsiteY61" fmla="*/ 2070100 h 2091267"/>
              <a:gd name="connsiteX62" fmla="*/ 1371600 w 2933700"/>
              <a:gd name="connsiteY62" fmla="*/ 2082800 h 2091267"/>
              <a:gd name="connsiteX63" fmla="*/ 1418166 w 2933700"/>
              <a:gd name="connsiteY63" fmla="*/ 2023534 h 2091267"/>
              <a:gd name="connsiteX64" fmla="*/ 1515533 w 2933700"/>
              <a:gd name="connsiteY64" fmla="*/ 2036234 h 2091267"/>
              <a:gd name="connsiteX65" fmla="*/ 1562100 w 2933700"/>
              <a:gd name="connsiteY65" fmla="*/ 2044700 h 2091267"/>
              <a:gd name="connsiteX66" fmla="*/ 1638300 w 2933700"/>
              <a:gd name="connsiteY66" fmla="*/ 2091267 h 2091267"/>
              <a:gd name="connsiteX67" fmla="*/ 1718733 w 2933700"/>
              <a:gd name="connsiteY67" fmla="*/ 2087034 h 2091267"/>
              <a:gd name="connsiteX68" fmla="*/ 1727200 w 2933700"/>
              <a:gd name="connsiteY68" fmla="*/ 2048934 h 2091267"/>
              <a:gd name="connsiteX69" fmla="*/ 1837266 w 2933700"/>
              <a:gd name="connsiteY69" fmla="*/ 1993900 h 2091267"/>
              <a:gd name="connsiteX70" fmla="*/ 1896533 w 2933700"/>
              <a:gd name="connsiteY70" fmla="*/ 1985434 h 2091267"/>
              <a:gd name="connsiteX71" fmla="*/ 2006600 w 2933700"/>
              <a:gd name="connsiteY71" fmla="*/ 2010834 h 2091267"/>
              <a:gd name="connsiteX72" fmla="*/ 1938866 w 2933700"/>
              <a:gd name="connsiteY72" fmla="*/ 1934634 h 2091267"/>
              <a:gd name="connsiteX73" fmla="*/ 1938866 w 2933700"/>
              <a:gd name="connsiteY73" fmla="*/ 1583267 h 2091267"/>
              <a:gd name="connsiteX74" fmla="*/ 1976966 w 2933700"/>
              <a:gd name="connsiteY74" fmla="*/ 1515534 h 2091267"/>
              <a:gd name="connsiteX75" fmla="*/ 2006600 w 2933700"/>
              <a:gd name="connsiteY75" fmla="*/ 1447800 h 2091267"/>
              <a:gd name="connsiteX76" fmla="*/ 2036233 w 2933700"/>
              <a:gd name="connsiteY76" fmla="*/ 1413934 h 2091267"/>
              <a:gd name="connsiteX77" fmla="*/ 2108200 w 2933700"/>
              <a:gd name="connsiteY77" fmla="*/ 1358900 h 2091267"/>
              <a:gd name="connsiteX78" fmla="*/ 2209800 w 2933700"/>
              <a:gd name="connsiteY78" fmla="*/ 1350434 h 2091267"/>
              <a:gd name="connsiteX79" fmla="*/ 2273300 w 2933700"/>
              <a:gd name="connsiteY79" fmla="*/ 1265767 h 2091267"/>
              <a:gd name="connsiteX80" fmla="*/ 2408766 w 2933700"/>
              <a:gd name="connsiteY80" fmla="*/ 1176867 h 2091267"/>
              <a:gd name="connsiteX81" fmla="*/ 2527300 w 2933700"/>
              <a:gd name="connsiteY81" fmla="*/ 1134534 h 2091267"/>
              <a:gd name="connsiteX82" fmla="*/ 2565400 w 2933700"/>
              <a:gd name="connsiteY82" fmla="*/ 1189567 h 2091267"/>
              <a:gd name="connsiteX83" fmla="*/ 2595033 w 2933700"/>
              <a:gd name="connsiteY83" fmla="*/ 1206500 h 2091267"/>
              <a:gd name="connsiteX84" fmla="*/ 2611966 w 2933700"/>
              <a:gd name="connsiteY84" fmla="*/ 1206500 h 2091267"/>
              <a:gd name="connsiteX85" fmla="*/ 2650066 w 2933700"/>
              <a:gd name="connsiteY85" fmla="*/ 1130300 h 2091267"/>
              <a:gd name="connsiteX86" fmla="*/ 2722033 w 2933700"/>
              <a:gd name="connsiteY86" fmla="*/ 1109134 h 2091267"/>
              <a:gd name="connsiteX87" fmla="*/ 2713566 w 2933700"/>
              <a:gd name="connsiteY87" fmla="*/ 1083734 h 2091267"/>
              <a:gd name="connsiteX88" fmla="*/ 2768600 w 2933700"/>
              <a:gd name="connsiteY88" fmla="*/ 1024467 h 2091267"/>
              <a:gd name="connsiteX89" fmla="*/ 2810933 w 2933700"/>
              <a:gd name="connsiteY89" fmla="*/ 1024467 h 2091267"/>
              <a:gd name="connsiteX90" fmla="*/ 2827866 w 2933700"/>
              <a:gd name="connsiteY90" fmla="*/ 901700 h 2091267"/>
              <a:gd name="connsiteX91" fmla="*/ 2933700 w 2933700"/>
              <a:gd name="connsiteY91" fmla="*/ 778934 h 2091267"/>
              <a:gd name="connsiteX92" fmla="*/ 2857500 w 2933700"/>
              <a:gd name="connsiteY92" fmla="*/ 690034 h 2091267"/>
              <a:gd name="connsiteX93" fmla="*/ 2853266 w 2933700"/>
              <a:gd name="connsiteY93" fmla="*/ 609600 h 2091267"/>
              <a:gd name="connsiteX94" fmla="*/ 2832100 w 2933700"/>
              <a:gd name="connsiteY94" fmla="*/ 563034 h 2091267"/>
              <a:gd name="connsiteX95" fmla="*/ 2751666 w 2933700"/>
              <a:gd name="connsiteY95" fmla="*/ 533400 h 2091267"/>
              <a:gd name="connsiteX96" fmla="*/ 2726266 w 2933700"/>
              <a:gd name="connsiteY96" fmla="*/ 520700 h 2091267"/>
              <a:gd name="connsiteX97" fmla="*/ 2709333 w 2933700"/>
              <a:gd name="connsiteY97" fmla="*/ 520700 h 2091267"/>
              <a:gd name="connsiteX98" fmla="*/ 2683933 w 2933700"/>
              <a:gd name="connsiteY98" fmla="*/ 554567 h 2091267"/>
              <a:gd name="connsiteX99" fmla="*/ 2679700 w 2933700"/>
              <a:gd name="connsiteY99" fmla="*/ 499517 h 2091267"/>
              <a:gd name="connsiteX100" fmla="*/ 2582331 w 2933700"/>
              <a:gd name="connsiteY100" fmla="*/ 571496 h 2091267"/>
              <a:gd name="connsiteX101" fmla="*/ 2484966 w 2933700"/>
              <a:gd name="connsiteY101" fmla="*/ 486834 h 2091267"/>
              <a:gd name="connsiteX102" fmla="*/ 2396066 w 2933700"/>
              <a:gd name="connsiteY102" fmla="*/ 313267 h 2091267"/>
              <a:gd name="connsiteX103" fmla="*/ 2383366 w 2933700"/>
              <a:gd name="connsiteY103" fmla="*/ 211667 h 2091267"/>
              <a:gd name="connsiteX104" fmla="*/ 2252139 w 2933700"/>
              <a:gd name="connsiteY104" fmla="*/ 97362 h 2091267"/>
              <a:gd name="connsiteX105" fmla="*/ 2218265 w 2933700"/>
              <a:gd name="connsiteY105" fmla="*/ 139683 h 2091267"/>
              <a:gd name="connsiteX106" fmla="*/ 2142066 w 2933700"/>
              <a:gd name="connsiteY106" fmla="*/ 127000 h 2091267"/>
              <a:gd name="connsiteX107" fmla="*/ 2116666 w 2933700"/>
              <a:gd name="connsiteY107" fmla="*/ 46567 h 2091267"/>
              <a:gd name="connsiteX108" fmla="*/ 2105335 w 2933700"/>
              <a:gd name="connsiteY108" fmla="*/ 30312 h 2091267"/>
              <a:gd name="connsiteX109" fmla="*/ 1981200 w 2933700"/>
              <a:gd name="connsiteY109" fmla="*/ 101600 h 2091267"/>
              <a:gd name="connsiteX110" fmla="*/ 1892300 w 2933700"/>
              <a:gd name="connsiteY110" fmla="*/ 300567 h 2091267"/>
              <a:gd name="connsiteX111" fmla="*/ 1854200 w 2933700"/>
              <a:gd name="connsiteY111" fmla="*/ 241300 h 2091267"/>
              <a:gd name="connsiteX112" fmla="*/ 1862666 w 2933700"/>
              <a:gd name="connsiteY112" fmla="*/ 186267 h 2091267"/>
              <a:gd name="connsiteX113" fmla="*/ 1824566 w 2933700"/>
              <a:gd name="connsiteY113" fmla="*/ 160867 h 2091267"/>
              <a:gd name="connsiteX114" fmla="*/ 1816100 w 2933700"/>
              <a:gd name="connsiteY114" fmla="*/ 114300 h 2091267"/>
              <a:gd name="connsiteX115" fmla="*/ 1752602 w 2933700"/>
              <a:gd name="connsiteY115" fmla="*/ 63487 h 2091267"/>
              <a:gd name="connsiteX116" fmla="*/ 1689100 w 2933700"/>
              <a:gd name="connsiteY116" fmla="*/ 122767 h 2091267"/>
              <a:gd name="connsiteX117" fmla="*/ 1651000 w 2933700"/>
              <a:gd name="connsiteY117" fmla="*/ 232834 h 2091267"/>
              <a:gd name="connsiteX118" fmla="*/ 1600200 w 2933700"/>
              <a:gd name="connsiteY118" fmla="*/ 300567 h 2091267"/>
              <a:gd name="connsiteX119" fmla="*/ 1532470 w 2933700"/>
              <a:gd name="connsiteY119" fmla="*/ 270917 h 2091267"/>
              <a:gd name="connsiteX120" fmla="*/ 1460500 w 2933700"/>
              <a:gd name="connsiteY120" fmla="*/ 317500 h 2091267"/>
              <a:gd name="connsiteX121" fmla="*/ 1413933 w 2933700"/>
              <a:gd name="connsiteY121" fmla="*/ 245534 h 2091267"/>
              <a:gd name="connsiteX122" fmla="*/ 1430866 w 2933700"/>
              <a:gd name="connsiteY122" fmla="*/ 190500 h 2091267"/>
              <a:gd name="connsiteX123" fmla="*/ 1384300 w 2933700"/>
              <a:gd name="connsiteY123" fmla="*/ 105834 h 2091267"/>
              <a:gd name="connsiteX124" fmla="*/ 1380066 w 2933700"/>
              <a:gd name="connsiteY124"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101600 w 2933700"/>
              <a:gd name="connsiteY28" fmla="*/ 931334 h 2091267"/>
              <a:gd name="connsiteX29" fmla="*/ 38100 w 2933700"/>
              <a:gd name="connsiteY29" fmla="*/ 1062567 h 2091267"/>
              <a:gd name="connsiteX30" fmla="*/ 50800 w 2933700"/>
              <a:gd name="connsiteY30" fmla="*/ 1100667 h 2091267"/>
              <a:gd name="connsiteX31" fmla="*/ 126996 w 2933700"/>
              <a:gd name="connsiteY31" fmla="*/ 1104905 h 2091267"/>
              <a:gd name="connsiteX32" fmla="*/ 165097 w 2933700"/>
              <a:gd name="connsiteY32" fmla="*/ 1185334 h 2091267"/>
              <a:gd name="connsiteX33" fmla="*/ 190497 w 2933700"/>
              <a:gd name="connsiteY33" fmla="*/ 1227667 h 2091267"/>
              <a:gd name="connsiteX34" fmla="*/ 198966 w 2933700"/>
              <a:gd name="connsiteY34" fmla="*/ 1316567 h 2091267"/>
              <a:gd name="connsiteX35" fmla="*/ 169333 w 2933700"/>
              <a:gd name="connsiteY35" fmla="*/ 1320800 h 2091267"/>
              <a:gd name="connsiteX36" fmla="*/ 182033 w 2933700"/>
              <a:gd name="connsiteY36" fmla="*/ 1354667 h 2091267"/>
              <a:gd name="connsiteX37" fmla="*/ 76200 w 2933700"/>
              <a:gd name="connsiteY37" fmla="*/ 1477434 h 2091267"/>
              <a:gd name="connsiteX38" fmla="*/ 80433 w 2933700"/>
              <a:gd name="connsiteY38" fmla="*/ 1524000 h 2091267"/>
              <a:gd name="connsiteX39" fmla="*/ 42333 w 2933700"/>
              <a:gd name="connsiteY39" fmla="*/ 1528234 h 2091267"/>
              <a:gd name="connsiteX40" fmla="*/ 25400 w 2933700"/>
              <a:gd name="connsiteY40" fmla="*/ 1562100 h 2091267"/>
              <a:gd name="connsiteX41" fmla="*/ 12700 w 2933700"/>
              <a:gd name="connsiteY41" fmla="*/ 1587500 h 2091267"/>
              <a:gd name="connsiteX42" fmla="*/ 0 w 2933700"/>
              <a:gd name="connsiteY42" fmla="*/ 1659467 h 2091267"/>
              <a:gd name="connsiteX43" fmla="*/ 0 w 2933700"/>
              <a:gd name="connsiteY43" fmla="*/ 1676400 h 2091267"/>
              <a:gd name="connsiteX44" fmla="*/ 156633 w 2933700"/>
              <a:gd name="connsiteY44" fmla="*/ 1799167 h 2091267"/>
              <a:gd name="connsiteX45" fmla="*/ 296333 w 2933700"/>
              <a:gd name="connsiteY45" fmla="*/ 1765300 h 2091267"/>
              <a:gd name="connsiteX46" fmla="*/ 330200 w 2933700"/>
              <a:gd name="connsiteY46" fmla="*/ 1794934 h 2091267"/>
              <a:gd name="connsiteX47" fmla="*/ 474133 w 2933700"/>
              <a:gd name="connsiteY47" fmla="*/ 1794934 h 2091267"/>
              <a:gd name="connsiteX48" fmla="*/ 529166 w 2933700"/>
              <a:gd name="connsiteY48" fmla="*/ 1807634 h 2091267"/>
              <a:gd name="connsiteX49" fmla="*/ 571500 w 2933700"/>
              <a:gd name="connsiteY49" fmla="*/ 1769534 h 2091267"/>
              <a:gd name="connsiteX50" fmla="*/ 567266 w 2933700"/>
              <a:gd name="connsiteY50" fmla="*/ 1701800 h 2091267"/>
              <a:gd name="connsiteX51" fmla="*/ 592666 w 2933700"/>
              <a:gd name="connsiteY51" fmla="*/ 1680634 h 2091267"/>
              <a:gd name="connsiteX52" fmla="*/ 808566 w 2933700"/>
              <a:gd name="connsiteY52" fmla="*/ 1739900 h 2091267"/>
              <a:gd name="connsiteX53" fmla="*/ 859366 w 2933700"/>
              <a:gd name="connsiteY53" fmla="*/ 1794934 h 2091267"/>
              <a:gd name="connsiteX54" fmla="*/ 948266 w 2933700"/>
              <a:gd name="connsiteY54" fmla="*/ 1790700 h 2091267"/>
              <a:gd name="connsiteX55" fmla="*/ 1024466 w 2933700"/>
              <a:gd name="connsiteY55" fmla="*/ 1879600 h 2091267"/>
              <a:gd name="connsiteX56" fmla="*/ 1037166 w 2933700"/>
              <a:gd name="connsiteY56" fmla="*/ 1841500 h 2091267"/>
              <a:gd name="connsiteX57" fmla="*/ 1075266 w 2933700"/>
              <a:gd name="connsiteY57" fmla="*/ 1849967 h 2091267"/>
              <a:gd name="connsiteX58" fmla="*/ 1206500 w 2933700"/>
              <a:gd name="connsiteY58" fmla="*/ 1905000 h 2091267"/>
              <a:gd name="connsiteX59" fmla="*/ 1193800 w 2933700"/>
              <a:gd name="connsiteY59" fmla="*/ 1960034 h 2091267"/>
              <a:gd name="connsiteX60" fmla="*/ 1286933 w 2933700"/>
              <a:gd name="connsiteY60" fmla="*/ 1989667 h 2091267"/>
              <a:gd name="connsiteX61" fmla="*/ 1325033 w 2933700"/>
              <a:gd name="connsiteY61" fmla="*/ 2070100 h 2091267"/>
              <a:gd name="connsiteX62" fmla="*/ 1371600 w 2933700"/>
              <a:gd name="connsiteY62" fmla="*/ 2082800 h 2091267"/>
              <a:gd name="connsiteX63" fmla="*/ 1418166 w 2933700"/>
              <a:gd name="connsiteY63" fmla="*/ 2023534 h 2091267"/>
              <a:gd name="connsiteX64" fmla="*/ 1515533 w 2933700"/>
              <a:gd name="connsiteY64" fmla="*/ 2036234 h 2091267"/>
              <a:gd name="connsiteX65" fmla="*/ 1562100 w 2933700"/>
              <a:gd name="connsiteY65" fmla="*/ 2044700 h 2091267"/>
              <a:gd name="connsiteX66" fmla="*/ 1638300 w 2933700"/>
              <a:gd name="connsiteY66" fmla="*/ 2091267 h 2091267"/>
              <a:gd name="connsiteX67" fmla="*/ 1718733 w 2933700"/>
              <a:gd name="connsiteY67" fmla="*/ 2087034 h 2091267"/>
              <a:gd name="connsiteX68" fmla="*/ 1727200 w 2933700"/>
              <a:gd name="connsiteY68" fmla="*/ 2048934 h 2091267"/>
              <a:gd name="connsiteX69" fmla="*/ 1837266 w 2933700"/>
              <a:gd name="connsiteY69" fmla="*/ 1993900 h 2091267"/>
              <a:gd name="connsiteX70" fmla="*/ 1896533 w 2933700"/>
              <a:gd name="connsiteY70" fmla="*/ 1985434 h 2091267"/>
              <a:gd name="connsiteX71" fmla="*/ 2006600 w 2933700"/>
              <a:gd name="connsiteY71" fmla="*/ 2010834 h 2091267"/>
              <a:gd name="connsiteX72" fmla="*/ 1938866 w 2933700"/>
              <a:gd name="connsiteY72" fmla="*/ 1934634 h 2091267"/>
              <a:gd name="connsiteX73" fmla="*/ 1938866 w 2933700"/>
              <a:gd name="connsiteY73" fmla="*/ 1583267 h 2091267"/>
              <a:gd name="connsiteX74" fmla="*/ 1976966 w 2933700"/>
              <a:gd name="connsiteY74" fmla="*/ 1515534 h 2091267"/>
              <a:gd name="connsiteX75" fmla="*/ 2006600 w 2933700"/>
              <a:gd name="connsiteY75" fmla="*/ 1447800 h 2091267"/>
              <a:gd name="connsiteX76" fmla="*/ 2036233 w 2933700"/>
              <a:gd name="connsiteY76" fmla="*/ 1413934 h 2091267"/>
              <a:gd name="connsiteX77" fmla="*/ 2108200 w 2933700"/>
              <a:gd name="connsiteY77" fmla="*/ 1358900 h 2091267"/>
              <a:gd name="connsiteX78" fmla="*/ 2209800 w 2933700"/>
              <a:gd name="connsiteY78" fmla="*/ 1350434 h 2091267"/>
              <a:gd name="connsiteX79" fmla="*/ 2273300 w 2933700"/>
              <a:gd name="connsiteY79" fmla="*/ 1265767 h 2091267"/>
              <a:gd name="connsiteX80" fmla="*/ 2408766 w 2933700"/>
              <a:gd name="connsiteY80" fmla="*/ 1176867 h 2091267"/>
              <a:gd name="connsiteX81" fmla="*/ 2527300 w 2933700"/>
              <a:gd name="connsiteY81" fmla="*/ 1134534 h 2091267"/>
              <a:gd name="connsiteX82" fmla="*/ 2565400 w 2933700"/>
              <a:gd name="connsiteY82" fmla="*/ 1189567 h 2091267"/>
              <a:gd name="connsiteX83" fmla="*/ 2595033 w 2933700"/>
              <a:gd name="connsiteY83" fmla="*/ 1206500 h 2091267"/>
              <a:gd name="connsiteX84" fmla="*/ 2611966 w 2933700"/>
              <a:gd name="connsiteY84" fmla="*/ 1206500 h 2091267"/>
              <a:gd name="connsiteX85" fmla="*/ 2650066 w 2933700"/>
              <a:gd name="connsiteY85" fmla="*/ 1130300 h 2091267"/>
              <a:gd name="connsiteX86" fmla="*/ 2722033 w 2933700"/>
              <a:gd name="connsiteY86" fmla="*/ 1109134 h 2091267"/>
              <a:gd name="connsiteX87" fmla="*/ 2713566 w 2933700"/>
              <a:gd name="connsiteY87" fmla="*/ 1083734 h 2091267"/>
              <a:gd name="connsiteX88" fmla="*/ 2768600 w 2933700"/>
              <a:gd name="connsiteY88" fmla="*/ 1024467 h 2091267"/>
              <a:gd name="connsiteX89" fmla="*/ 2810933 w 2933700"/>
              <a:gd name="connsiteY89" fmla="*/ 1024467 h 2091267"/>
              <a:gd name="connsiteX90" fmla="*/ 2827866 w 2933700"/>
              <a:gd name="connsiteY90" fmla="*/ 901700 h 2091267"/>
              <a:gd name="connsiteX91" fmla="*/ 2933700 w 2933700"/>
              <a:gd name="connsiteY91" fmla="*/ 778934 h 2091267"/>
              <a:gd name="connsiteX92" fmla="*/ 2857500 w 2933700"/>
              <a:gd name="connsiteY92" fmla="*/ 690034 h 2091267"/>
              <a:gd name="connsiteX93" fmla="*/ 2853266 w 2933700"/>
              <a:gd name="connsiteY93" fmla="*/ 609600 h 2091267"/>
              <a:gd name="connsiteX94" fmla="*/ 2832100 w 2933700"/>
              <a:gd name="connsiteY94" fmla="*/ 563034 h 2091267"/>
              <a:gd name="connsiteX95" fmla="*/ 2751666 w 2933700"/>
              <a:gd name="connsiteY95" fmla="*/ 533400 h 2091267"/>
              <a:gd name="connsiteX96" fmla="*/ 2726266 w 2933700"/>
              <a:gd name="connsiteY96" fmla="*/ 520700 h 2091267"/>
              <a:gd name="connsiteX97" fmla="*/ 2709333 w 2933700"/>
              <a:gd name="connsiteY97" fmla="*/ 520700 h 2091267"/>
              <a:gd name="connsiteX98" fmla="*/ 2683933 w 2933700"/>
              <a:gd name="connsiteY98" fmla="*/ 554567 h 2091267"/>
              <a:gd name="connsiteX99" fmla="*/ 2679700 w 2933700"/>
              <a:gd name="connsiteY99" fmla="*/ 499517 h 2091267"/>
              <a:gd name="connsiteX100" fmla="*/ 2582331 w 2933700"/>
              <a:gd name="connsiteY100" fmla="*/ 571496 h 2091267"/>
              <a:gd name="connsiteX101" fmla="*/ 2484966 w 2933700"/>
              <a:gd name="connsiteY101" fmla="*/ 486834 h 2091267"/>
              <a:gd name="connsiteX102" fmla="*/ 2396066 w 2933700"/>
              <a:gd name="connsiteY102" fmla="*/ 313267 h 2091267"/>
              <a:gd name="connsiteX103" fmla="*/ 2383366 w 2933700"/>
              <a:gd name="connsiteY103" fmla="*/ 211667 h 2091267"/>
              <a:gd name="connsiteX104" fmla="*/ 2252139 w 2933700"/>
              <a:gd name="connsiteY104" fmla="*/ 97362 h 2091267"/>
              <a:gd name="connsiteX105" fmla="*/ 2218265 w 2933700"/>
              <a:gd name="connsiteY105" fmla="*/ 139683 h 2091267"/>
              <a:gd name="connsiteX106" fmla="*/ 2142066 w 2933700"/>
              <a:gd name="connsiteY106" fmla="*/ 127000 h 2091267"/>
              <a:gd name="connsiteX107" fmla="*/ 2116666 w 2933700"/>
              <a:gd name="connsiteY107" fmla="*/ 46567 h 2091267"/>
              <a:gd name="connsiteX108" fmla="*/ 2105335 w 2933700"/>
              <a:gd name="connsiteY108" fmla="*/ 30312 h 2091267"/>
              <a:gd name="connsiteX109" fmla="*/ 1981200 w 2933700"/>
              <a:gd name="connsiteY109" fmla="*/ 101600 h 2091267"/>
              <a:gd name="connsiteX110" fmla="*/ 1892300 w 2933700"/>
              <a:gd name="connsiteY110" fmla="*/ 300567 h 2091267"/>
              <a:gd name="connsiteX111" fmla="*/ 1854200 w 2933700"/>
              <a:gd name="connsiteY111" fmla="*/ 241300 h 2091267"/>
              <a:gd name="connsiteX112" fmla="*/ 1862666 w 2933700"/>
              <a:gd name="connsiteY112" fmla="*/ 186267 h 2091267"/>
              <a:gd name="connsiteX113" fmla="*/ 1824566 w 2933700"/>
              <a:gd name="connsiteY113" fmla="*/ 160867 h 2091267"/>
              <a:gd name="connsiteX114" fmla="*/ 1816100 w 2933700"/>
              <a:gd name="connsiteY114" fmla="*/ 114300 h 2091267"/>
              <a:gd name="connsiteX115" fmla="*/ 1752602 w 2933700"/>
              <a:gd name="connsiteY115" fmla="*/ 63487 h 2091267"/>
              <a:gd name="connsiteX116" fmla="*/ 1689100 w 2933700"/>
              <a:gd name="connsiteY116" fmla="*/ 122767 h 2091267"/>
              <a:gd name="connsiteX117" fmla="*/ 1651000 w 2933700"/>
              <a:gd name="connsiteY117" fmla="*/ 232834 h 2091267"/>
              <a:gd name="connsiteX118" fmla="*/ 1600200 w 2933700"/>
              <a:gd name="connsiteY118" fmla="*/ 300567 h 2091267"/>
              <a:gd name="connsiteX119" fmla="*/ 1532470 w 2933700"/>
              <a:gd name="connsiteY119" fmla="*/ 270917 h 2091267"/>
              <a:gd name="connsiteX120" fmla="*/ 1460500 w 2933700"/>
              <a:gd name="connsiteY120" fmla="*/ 317500 h 2091267"/>
              <a:gd name="connsiteX121" fmla="*/ 1413933 w 2933700"/>
              <a:gd name="connsiteY121" fmla="*/ 245534 h 2091267"/>
              <a:gd name="connsiteX122" fmla="*/ 1430866 w 2933700"/>
              <a:gd name="connsiteY122" fmla="*/ 190500 h 2091267"/>
              <a:gd name="connsiteX123" fmla="*/ 1384300 w 2933700"/>
              <a:gd name="connsiteY123" fmla="*/ 105834 h 2091267"/>
              <a:gd name="connsiteX124" fmla="*/ 1380066 w 2933700"/>
              <a:gd name="connsiteY124"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80428 w 2933700"/>
              <a:gd name="connsiteY28" fmla="*/ 935572 h 2091267"/>
              <a:gd name="connsiteX29" fmla="*/ 38100 w 2933700"/>
              <a:gd name="connsiteY29" fmla="*/ 1062567 h 2091267"/>
              <a:gd name="connsiteX30" fmla="*/ 50800 w 2933700"/>
              <a:gd name="connsiteY30" fmla="*/ 1100667 h 2091267"/>
              <a:gd name="connsiteX31" fmla="*/ 126996 w 2933700"/>
              <a:gd name="connsiteY31" fmla="*/ 1104905 h 2091267"/>
              <a:gd name="connsiteX32" fmla="*/ 165097 w 2933700"/>
              <a:gd name="connsiteY32" fmla="*/ 1185334 h 2091267"/>
              <a:gd name="connsiteX33" fmla="*/ 190497 w 2933700"/>
              <a:gd name="connsiteY33" fmla="*/ 1227667 h 2091267"/>
              <a:gd name="connsiteX34" fmla="*/ 198966 w 2933700"/>
              <a:gd name="connsiteY34" fmla="*/ 1316567 h 2091267"/>
              <a:gd name="connsiteX35" fmla="*/ 169333 w 2933700"/>
              <a:gd name="connsiteY35" fmla="*/ 1320800 h 2091267"/>
              <a:gd name="connsiteX36" fmla="*/ 182033 w 2933700"/>
              <a:gd name="connsiteY36" fmla="*/ 1354667 h 2091267"/>
              <a:gd name="connsiteX37" fmla="*/ 76200 w 2933700"/>
              <a:gd name="connsiteY37" fmla="*/ 1477434 h 2091267"/>
              <a:gd name="connsiteX38" fmla="*/ 80433 w 2933700"/>
              <a:gd name="connsiteY38" fmla="*/ 1524000 h 2091267"/>
              <a:gd name="connsiteX39" fmla="*/ 42333 w 2933700"/>
              <a:gd name="connsiteY39" fmla="*/ 1528234 h 2091267"/>
              <a:gd name="connsiteX40" fmla="*/ 25400 w 2933700"/>
              <a:gd name="connsiteY40" fmla="*/ 1562100 h 2091267"/>
              <a:gd name="connsiteX41" fmla="*/ 12700 w 2933700"/>
              <a:gd name="connsiteY41" fmla="*/ 1587500 h 2091267"/>
              <a:gd name="connsiteX42" fmla="*/ 0 w 2933700"/>
              <a:gd name="connsiteY42" fmla="*/ 1659467 h 2091267"/>
              <a:gd name="connsiteX43" fmla="*/ 0 w 2933700"/>
              <a:gd name="connsiteY43" fmla="*/ 1676400 h 2091267"/>
              <a:gd name="connsiteX44" fmla="*/ 156633 w 2933700"/>
              <a:gd name="connsiteY44" fmla="*/ 1799167 h 2091267"/>
              <a:gd name="connsiteX45" fmla="*/ 296333 w 2933700"/>
              <a:gd name="connsiteY45" fmla="*/ 1765300 h 2091267"/>
              <a:gd name="connsiteX46" fmla="*/ 330200 w 2933700"/>
              <a:gd name="connsiteY46" fmla="*/ 1794934 h 2091267"/>
              <a:gd name="connsiteX47" fmla="*/ 474133 w 2933700"/>
              <a:gd name="connsiteY47" fmla="*/ 1794934 h 2091267"/>
              <a:gd name="connsiteX48" fmla="*/ 529166 w 2933700"/>
              <a:gd name="connsiteY48" fmla="*/ 1807634 h 2091267"/>
              <a:gd name="connsiteX49" fmla="*/ 571500 w 2933700"/>
              <a:gd name="connsiteY49" fmla="*/ 1769534 h 2091267"/>
              <a:gd name="connsiteX50" fmla="*/ 567266 w 2933700"/>
              <a:gd name="connsiteY50" fmla="*/ 1701800 h 2091267"/>
              <a:gd name="connsiteX51" fmla="*/ 592666 w 2933700"/>
              <a:gd name="connsiteY51" fmla="*/ 1680634 h 2091267"/>
              <a:gd name="connsiteX52" fmla="*/ 808566 w 2933700"/>
              <a:gd name="connsiteY52" fmla="*/ 1739900 h 2091267"/>
              <a:gd name="connsiteX53" fmla="*/ 859366 w 2933700"/>
              <a:gd name="connsiteY53" fmla="*/ 1794934 h 2091267"/>
              <a:gd name="connsiteX54" fmla="*/ 948266 w 2933700"/>
              <a:gd name="connsiteY54" fmla="*/ 1790700 h 2091267"/>
              <a:gd name="connsiteX55" fmla="*/ 1024466 w 2933700"/>
              <a:gd name="connsiteY55" fmla="*/ 1879600 h 2091267"/>
              <a:gd name="connsiteX56" fmla="*/ 1037166 w 2933700"/>
              <a:gd name="connsiteY56" fmla="*/ 1841500 h 2091267"/>
              <a:gd name="connsiteX57" fmla="*/ 1075266 w 2933700"/>
              <a:gd name="connsiteY57" fmla="*/ 1849967 h 2091267"/>
              <a:gd name="connsiteX58" fmla="*/ 1206500 w 2933700"/>
              <a:gd name="connsiteY58" fmla="*/ 1905000 h 2091267"/>
              <a:gd name="connsiteX59" fmla="*/ 1193800 w 2933700"/>
              <a:gd name="connsiteY59" fmla="*/ 1960034 h 2091267"/>
              <a:gd name="connsiteX60" fmla="*/ 1286933 w 2933700"/>
              <a:gd name="connsiteY60" fmla="*/ 1989667 h 2091267"/>
              <a:gd name="connsiteX61" fmla="*/ 1325033 w 2933700"/>
              <a:gd name="connsiteY61" fmla="*/ 2070100 h 2091267"/>
              <a:gd name="connsiteX62" fmla="*/ 1371600 w 2933700"/>
              <a:gd name="connsiteY62" fmla="*/ 2082800 h 2091267"/>
              <a:gd name="connsiteX63" fmla="*/ 1418166 w 2933700"/>
              <a:gd name="connsiteY63" fmla="*/ 2023534 h 2091267"/>
              <a:gd name="connsiteX64" fmla="*/ 1515533 w 2933700"/>
              <a:gd name="connsiteY64" fmla="*/ 2036234 h 2091267"/>
              <a:gd name="connsiteX65" fmla="*/ 1562100 w 2933700"/>
              <a:gd name="connsiteY65" fmla="*/ 2044700 h 2091267"/>
              <a:gd name="connsiteX66" fmla="*/ 1638300 w 2933700"/>
              <a:gd name="connsiteY66" fmla="*/ 2091267 h 2091267"/>
              <a:gd name="connsiteX67" fmla="*/ 1718733 w 2933700"/>
              <a:gd name="connsiteY67" fmla="*/ 2087034 h 2091267"/>
              <a:gd name="connsiteX68" fmla="*/ 1727200 w 2933700"/>
              <a:gd name="connsiteY68" fmla="*/ 2048934 h 2091267"/>
              <a:gd name="connsiteX69" fmla="*/ 1837266 w 2933700"/>
              <a:gd name="connsiteY69" fmla="*/ 1993900 h 2091267"/>
              <a:gd name="connsiteX70" fmla="*/ 1896533 w 2933700"/>
              <a:gd name="connsiteY70" fmla="*/ 1985434 h 2091267"/>
              <a:gd name="connsiteX71" fmla="*/ 2006600 w 2933700"/>
              <a:gd name="connsiteY71" fmla="*/ 2010834 h 2091267"/>
              <a:gd name="connsiteX72" fmla="*/ 1938866 w 2933700"/>
              <a:gd name="connsiteY72" fmla="*/ 1934634 h 2091267"/>
              <a:gd name="connsiteX73" fmla="*/ 1938866 w 2933700"/>
              <a:gd name="connsiteY73" fmla="*/ 1583267 h 2091267"/>
              <a:gd name="connsiteX74" fmla="*/ 1976966 w 2933700"/>
              <a:gd name="connsiteY74" fmla="*/ 1515534 h 2091267"/>
              <a:gd name="connsiteX75" fmla="*/ 2006600 w 2933700"/>
              <a:gd name="connsiteY75" fmla="*/ 1447800 h 2091267"/>
              <a:gd name="connsiteX76" fmla="*/ 2036233 w 2933700"/>
              <a:gd name="connsiteY76" fmla="*/ 1413934 h 2091267"/>
              <a:gd name="connsiteX77" fmla="*/ 2108200 w 2933700"/>
              <a:gd name="connsiteY77" fmla="*/ 1358900 h 2091267"/>
              <a:gd name="connsiteX78" fmla="*/ 2209800 w 2933700"/>
              <a:gd name="connsiteY78" fmla="*/ 1350434 h 2091267"/>
              <a:gd name="connsiteX79" fmla="*/ 2273300 w 2933700"/>
              <a:gd name="connsiteY79" fmla="*/ 1265767 h 2091267"/>
              <a:gd name="connsiteX80" fmla="*/ 2408766 w 2933700"/>
              <a:gd name="connsiteY80" fmla="*/ 1176867 h 2091267"/>
              <a:gd name="connsiteX81" fmla="*/ 2527300 w 2933700"/>
              <a:gd name="connsiteY81" fmla="*/ 1134534 h 2091267"/>
              <a:gd name="connsiteX82" fmla="*/ 2565400 w 2933700"/>
              <a:gd name="connsiteY82" fmla="*/ 1189567 h 2091267"/>
              <a:gd name="connsiteX83" fmla="*/ 2595033 w 2933700"/>
              <a:gd name="connsiteY83" fmla="*/ 1206500 h 2091267"/>
              <a:gd name="connsiteX84" fmla="*/ 2611966 w 2933700"/>
              <a:gd name="connsiteY84" fmla="*/ 1206500 h 2091267"/>
              <a:gd name="connsiteX85" fmla="*/ 2650066 w 2933700"/>
              <a:gd name="connsiteY85" fmla="*/ 1130300 h 2091267"/>
              <a:gd name="connsiteX86" fmla="*/ 2722033 w 2933700"/>
              <a:gd name="connsiteY86" fmla="*/ 1109134 h 2091267"/>
              <a:gd name="connsiteX87" fmla="*/ 2713566 w 2933700"/>
              <a:gd name="connsiteY87" fmla="*/ 1083734 h 2091267"/>
              <a:gd name="connsiteX88" fmla="*/ 2768600 w 2933700"/>
              <a:gd name="connsiteY88" fmla="*/ 1024467 h 2091267"/>
              <a:gd name="connsiteX89" fmla="*/ 2810933 w 2933700"/>
              <a:gd name="connsiteY89" fmla="*/ 1024467 h 2091267"/>
              <a:gd name="connsiteX90" fmla="*/ 2827866 w 2933700"/>
              <a:gd name="connsiteY90" fmla="*/ 901700 h 2091267"/>
              <a:gd name="connsiteX91" fmla="*/ 2933700 w 2933700"/>
              <a:gd name="connsiteY91" fmla="*/ 778934 h 2091267"/>
              <a:gd name="connsiteX92" fmla="*/ 2857500 w 2933700"/>
              <a:gd name="connsiteY92" fmla="*/ 690034 h 2091267"/>
              <a:gd name="connsiteX93" fmla="*/ 2853266 w 2933700"/>
              <a:gd name="connsiteY93" fmla="*/ 609600 h 2091267"/>
              <a:gd name="connsiteX94" fmla="*/ 2832100 w 2933700"/>
              <a:gd name="connsiteY94" fmla="*/ 563034 h 2091267"/>
              <a:gd name="connsiteX95" fmla="*/ 2751666 w 2933700"/>
              <a:gd name="connsiteY95" fmla="*/ 533400 h 2091267"/>
              <a:gd name="connsiteX96" fmla="*/ 2726266 w 2933700"/>
              <a:gd name="connsiteY96" fmla="*/ 520700 h 2091267"/>
              <a:gd name="connsiteX97" fmla="*/ 2709333 w 2933700"/>
              <a:gd name="connsiteY97" fmla="*/ 520700 h 2091267"/>
              <a:gd name="connsiteX98" fmla="*/ 2683933 w 2933700"/>
              <a:gd name="connsiteY98" fmla="*/ 554567 h 2091267"/>
              <a:gd name="connsiteX99" fmla="*/ 2679700 w 2933700"/>
              <a:gd name="connsiteY99" fmla="*/ 499517 h 2091267"/>
              <a:gd name="connsiteX100" fmla="*/ 2582331 w 2933700"/>
              <a:gd name="connsiteY100" fmla="*/ 571496 h 2091267"/>
              <a:gd name="connsiteX101" fmla="*/ 2484966 w 2933700"/>
              <a:gd name="connsiteY101" fmla="*/ 486834 h 2091267"/>
              <a:gd name="connsiteX102" fmla="*/ 2396066 w 2933700"/>
              <a:gd name="connsiteY102" fmla="*/ 313267 h 2091267"/>
              <a:gd name="connsiteX103" fmla="*/ 2383366 w 2933700"/>
              <a:gd name="connsiteY103" fmla="*/ 211667 h 2091267"/>
              <a:gd name="connsiteX104" fmla="*/ 2252139 w 2933700"/>
              <a:gd name="connsiteY104" fmla="*/ 97362 h 2091267"/>
              <a:gd name="connsiteX105" fmla="*/ 2218265 w 2933700"/>
              <a:gd name="connsiteY105" fmla="*/ 139683 h 2091267"/>
              <a:gd name="connsiteX106" fmla="*/ 2142066 w 2933700"/>
              <a:gd name="connsiteY106" fmla="*/ 127000 h 2091267"/>
              <a:gd name="connsiteX107" fmla="*/ 2116666 w 2933700"/>
              <a:gd name="connsiteY107" fmla="*/ 46567 h 2091267"/>
              <a:gd name="connsiteX108" fmla="*/ 2105335 w 2933700"/>
              <a:gd name="connsiteY108" fmla="*/ 30312 h 2091267"/>
              <a:gd name="connsiteX109" fmla="*/ 1981200 w 2933700"/>
              <a:gd name="connsiteY109" fmla="*/ 101600 h 2091267"/>
              <a:gd name="connsiteX110" fmla="*/ 1892300 w 2933700"/>
              <a:gd name="connsiteY110" fmla="*/ 300567 h 2091267"/>
              <a:gd name="connsiteX111" fmla="*/ 1854200 w 2933700"/>
              <a:gd name="connsiteY111" fmla="*/ 241300 h 2091267"/>
              <a:gd name="connsiteX112" fmla="*/ 1862666 w 2933700"/>
              <a:gd name="connsiteY112" fmla="*/ 186267 h 2091267"/>
              <a:gd name="connsiteX113" fmla="*/ 1824566 w 2933700"/>
              <a:gd name="connsiteY113" fmla="*/ 160867 h 2091267"/>
              <a:gd name="connsiteX114" fmla="*/ 1816100 w 2933700"/>
              <a:gd name="connsiteY114" fmla="*/ 114300 h 2091267"/>
              <a:gd name="connsiteX115" fmla="*/ 1752602 w 2933700"/>
              <a:gd name="connsiteY115" fmla="*/ 63487 h 2091267"/>
              <a:gd name="connsiteX116" fmla="*/ 1689100 w 2933700"/>
              <a:gd name="connsiteY116" fmla="*/ 122767 h 2091267"/>
              <a:gd name="connsiteX117" fmla="*/ 1651000 w 2933700"/>
              <a:gd name="connsiteY117" fmla="*/ 232834 h 2091267"/>
              <a:gd name="connsiteX118" fmla="*/ 1600200 w 2933700"/>
              <a:gd name="connsiteY118" fmla="*/ 300567 h 2091267"/>
              <a:gd name="connsiteX119" fmla="*/ 1532470 w 2933700"/>
              <a:gd name="connsiteY119" fmla="*/ 270917 h 2091267"/>
              <a:gd name="connsiteX120" fmla="*/ 1460500 w 2933700"/>
              <a:gd name="connsiteY120" fmla="*/ 317500 h 2091267"/>
              <a:gd name="connsiteX121" fmla="*/ 1413933 w 2933700"/>
              <a:gd name="connsiteY121" fmla="*/ 245534 h 2091267"/>
              <a:gd name="connsiteX122" fmla="*/ 1430866 w 2933700"/>
              <a:gd name="connsiteY122" fmla="*/ 190500 h 2091267"/>
              <a:gd name="connsiteX123" fmla="*/ 1384300 w 2933700"/>
              <a:gd name="connsiteY123" fmla="*/ 105834 h 2091267"/>
              <a:gd name="connsiteX124" fmla="*/ 1380066 w 2933700"/>
              <a:gd name="connsiteY124" fmla="*/ 42334 h 2091267"/>
              <a:gd name="connsiteX0" fmla="*/ 1380066 w 2933700"/>
              <a:gd name="connsiteY0" fmla="*/ 42334 h 2091267"/>
              <a:gd name="connsiteX1" fmla="*/ 1299633 w 2933700"/>
              <a:gd name="connsiteY1" fmla="*/ 42334 h 2091267"/>
              <a:gd name="connsiteX2" fmla="*/ 1231900 w 2933700"/>
              <a:gd name="connsiteY2" fmla="*/ 71967 h 2091267"/>
              <a:gd name="connsiteX3" fmla="*/ 1138766 w 2933700"/>
              <a:gd name="connsiteY3" fmla="*/ 0 h 2091267"/>
              <a:gd name="connsiteX4" fmla="*/ 1041400 w 2933700"/>
              <a:gd name="connsiteY4" fmla="*/ 4234 h 2091267"/>
              <a:gd name="connsiteX5" fmla="*/ 1011766 w 2933700"/>
              <a:gd name="connsiteY5" fmla="*/ 139700 h 2091267"/>
              <a:gd name="connsiteX6" fmla="*/ 956733 w 2933700"/>
              <a:gd name="connsiteY6" fmla="*/ 177800 h 2091267"/>
              <a:gd name="connsiteX7" fmla="*/ 956733 w 2933700"/>
              <a:gd name="connsiteY7" fmla="*/ 224367 h 2091267"/>
              <a:gd name="connsiteX8" fmla="*/ 893233 w 2933700"/>
              <a:gd name="connsiteY8" fmla="*/ 258234 h 2091267"/>
              <a:gd name="connsiteX9" fmla="*/ 821266 w 2933700"/>
              <a:gd name="connsiteY9" fmla="*/ 347134 h 2091267"/>
              <a:gd name="connsiteX10" fmla="*/ 783166 w 2933700"/>
              <a:gd name="connsiteY10" fmla="*/ 381000 h 2091267"/>
              <a:gd name="connsiteX11" fmla="*/ 817033 w 2933700"/>
              <a:gd name="connsiteY11" fmla="*/ 503767 h 2091267"/>
              <a:gd name="connsiteX12" fmla="*/ 732366 w 2933700"/>
              <a:gd name="connsiteY12" fmla="*/ 529167 h 2091267"/>
              <a:gd name="connsiteX13" fmla="*/ 715433 w 2933700"/>
              <a:gd name="connsiteY13" fmla="*/ 567267 h 2091267"/>
              <a:gd name="connsiteX14" fmla="*/ 749300 w 2933700"/>
              <a:gd name="connsiteY14" fmla="*/ 579967 h 2091267"/>
              <a:gd name="connsiteX15" fmla="*/ 698500 w 2933700"/>
              <a:gd name="connsiteY15" fmla="*/ 647700 h 2091267"/>
              <a:gd name="connsiteX16" fmla="*/ 711200 w 2933700"/>
              <a:gd name="connsiteY16" fmla="*/ 685800 h 2091267"/>
              <a:gd name="connsiteX17" fmla="*/ 668866 w 2933700"/>
              <a:gd name="connsiteY17" fmla="*/ 685800 h 2091267"/>
              <a:gd name="connsiteX18" fmla="*/ 635000 w 2933700"/>
              <a:gd name="connsiteY18" fmla="*/ 749300 h 2091267"/>
              <a:gd name="connsiteX19" fmla="*/ 588433 w 2933700"/>
              <a:gd name="connsiteY19" fmla="*/ 762000 h 2091267"/>
              <a:gd name="connsiteX20" fmla="*/ 491066 w 2933700"/>
              <a:gd name="connsiteY20" fmla="*/ 749300 h 2091267"/>
              <a:gd name="connsiteX21" fmla="*/ 427566 w 2933700"/>
              <a:gd name="connsiteY21" fmla="*/ 778934 h 2091267"/>
              <a:gd name="connsiteX22" fmla="*/ 321733 w 2933700"/>
              <a:gd name="connsiteY22" fmla="*/ 778934 h 2091267"/>
              <a:gd name="connsiteX23" fmla="*/ 296333 w 2933700"/>
              <a:gd name="connsiteY23" fmla="*/ 808567 h 2091267"/>
              <a:gd name="connsiteX24" fmla="*/ 254000 w 2933700"/>
              <a:gd name="connsiteY24" fmla="*/ 808567 h 2091267"/>
              <a:gd name="connsiteX25" fmla="*/ 228600 w 2933700"/>
              <a:gd name="connsiteY25" fmla="*/ 855134 h 2091267"/>
              <a:gd name="connsiteX26" fmla="*/ 211666 w 2933700"/>
              <a:gd name="connsiteY26" fmla="*/ 817034 h 2091267"/>
              <a:gd name="connsiteX27" fmla="*/ 84666 w 2933700"/>
              <a:gd name="connsiteY27" fmla="*/ 859367 h 2091267"/>
              <a:gd name="connsiteX28" fmla="*/ 80428 w 2933700"/>
              <a:gd name="connsiteY28" fmla="*/ 935572 h 2091267"/>
              <a:gd name="connsiteX29" fmla="*/ 38100 w 2933700"/>
              <a:gd name="connsiteY29" fmla="*/ 1062567 h 2091267"/>
              <a:gd name="connsiteX30" fmla="*/ 50800 w 2933700"/>
              <a:gd name="connsiteY30" fmla="*/ 1100667 h 2091267"/>
              <a:gd name="connsiteX31" fmla="*/ 126996 w 2933700"/>
              <a:gd name="connsiteY31" fmla="*/ 1104905 h 2091267"/>
              <a:gd name="connsiteX32" fmla="*/ 165097 w 2933700"/>
              <a:gd name="connsiteY32" fmla="*/ 1185334 h 2091267"/>
              <a:gd name="connsiteX33" fmla="*/ 190497 w 2933700"/>
              <a:gd name="connsiteY33" fmla="*/ 1227667 h 2091267"/>
              <a:gd name="connsiteX34" fmla="*/ 198966 w 2933700"/>
              <a:gd name="connsiteY34" fmla="*/ 1316567 h 2091267"/>
              <a:gd name="connsiteX35" fmla="*/ 182033 w 2933700"/>
              <a:gd name="connsiteY35" fmla="*/ 1354667 h 2091267"/>
              <a:gd name="connsiteX36" fmla="*/ 76200 w 2933700"/>
              <a:gd name="connsiteY36" fmla="*/ 1477434 h 2091267"/>
              <a:gd name="connsiteX37" fmla="*/ 80433 w 2933700"/>
              <a:gd name="connsiteY37" fmla="*/ 1524000 h 2091267"/>
              <a:gd name="connsiteX38" fmla="*/ 42333 w 2933700"/>
              <a:gd name="connsiteY38" fmla="*/ 1528234 h 2091267"/>
              <a:gd name="connsiteX39" fmla="*/ 25400 w 2933700"/>
              <a:gd name="connsiteY39" fmla="*/ 1562100 h 2091267"/>
              <a:gd name="connsiteX40" fmla="*/ 12700 w 2933700"/>
              <a:gd name="connsiteY40" fmla="*/ 1587500 h 2091267"/>
              <a:gd name="connsiteX41" fmla="*/ 0 w 2933700"/>
              <a:gd name="connsiteY41" fmla="*/ 1659467 h 2091267"/>
              <a:gd name="connsiteX42" fmla="*/ 0 w 2933700"/>
              <a:gd name="connsiteY42" fmla="*/ 1676400 h 2091267"/>
              <a:gd name="connsiteX43" fmla="*/ 156633 w 2933700"/>
              <a:gd name="connsiteY43" fmla="*/ 1799167 h 2091267"/>
              <a:gd name="connsiteX44" fmla="*/ 296333 w 2933700"/>
              <a:gd name="connsiteY44" fmla="*/ 1765300 h 2091267"/>
              <a:gd name="connsiteX45" fmla="*/ 330200 w 2933700"/>
              <a:gd name="connsiteY45" fmla="*/ 1794934 h 2091267"/>
              <a:gd name="connsiteX46" fmla="*/ 474133 w 2933700"/>
              <a:gd name="connsiteY46" fmla="*/ 1794934 h 2091267"/>
              <a:gd name="connsiteX47" fmla="*/ 529166 w 2933700"/>
              <a:gd name="connsiteY47" fmla="*/ 1807634 h 2091267"/>
              <a:gd name="connsiteX48" fmla="*/ 571500 w 2933700"/>
              <a:gd name="connsiteY48" fmla="*/ 1769534 h 2091267"/>
              <a:gd name="connsiteX49" fmla="*/ 567266 w 2933700"/>
              <a:gd name="connsiteY49" fmla="*/ 1701800 h 2091267"/>
              <a:gd name="connsiteX50" fmla="*/ 592666 w 2933700"/>
              <a:gd name="connsiteY50" fmla="*/ 1680634 h 2091267"/>
              <a:gd name="connsiteX51" fmla="*/ 808566 w 2933700"/>
              <a:gd name="connsiteY51" fmla="*/ 1739900 h 2091267"/>
              <a:gd name="connsiteX52" fmla="*/ 859366 w 2933700"/>
              <a:gd name="connsiteY52" fmla="*/ 1794934 h 2091267"/>
              <a:gd name="connsiteX53" fmla="*/ 948266 w 2933700"/>
              <a:gd name="connsiteY53" fmla="*/ 1790700 h 2091267"/>
              <a:gd name="connsiteX54" fmla="*/ 1024466 w 2933700"/>
              <a:gd name="connsiteY54" fmla="*/ 1879600 h 2091267"/>
              <a:gd name="connsiteX55" fmla="*/ 1037166 w 2933700"/>
              <a:gd name="connsiteY55" fmla="*/ 1841500 h 2091267"/>
              <a:gd name="connsiteX56" fmla="*/ 1075266 w 2933700"/>
              <a:gd name="connsiteY56" fmla="*/ 1849967 h 2091267"/>
              <a:gd name="connsiteX57" fmla="*/ 1206500 w 2933700"/>
              <a:gd name="connsiteY57" fmla="*/ 1905000 h 2091267"/>
              <a:gd name="connsiteX58" fmla="*/ 1193800 w 2933700"/>
              <a:gd name="connsiteY58" fmla="*/ 1960034 h 2091267"/>
              <a:gd name="connsiteX59" fmla="*/ 1286933 w 2933700"/>
              <a:gd name="connsiteY59" fmla="*/ 1989667 h 2091267"/>
              <a:gd name="connsiteX60" fmla="*/ 1325033 w 2933700"/>
              <a:gd name="connsiteY60" fmla="*/ 2070100 h 2091267"/>
              <a:gd name="connsiteX61" fmla="*/ 1371600 w 2933700"/>
              <a:gd name="connsiteY61" fmla="*/ 2082800 h 2091267"/>
              <a:gd name="connsiteX62" fmla="*/ 1418166 w 2933700"/>
              <a:gd name="connsiteY62" fmla="*/ 2023534 h 2091267"/>
              <a:gd name="connsiteX63" fmla="*/ 1515533 w 2933700"/>
              <a:gd name="connsiteY63" fmla="*/ 2036234 h 2091267"/>
              <a:gd name="connsiteX64" fmla="*/ 1562100 w 2933700"/>
              <a:gd name="connsiteY64" fmla="*/ 2044700 h 2091267"/>
              <a:gd name="connsiteX65" fmla="*/ 1638300 w 2933700"/>
              <a:gd name="connsiteY65" fmla="*/ 2091267 h 2091267"/>
              <a:gd name="connsiteX66" fmla="*/ 1718733 w 2933700"/>
              <a:gd name="connsiteY66" fmla="*/ 2087034 h 2091267"/>
              <a:gd name="connsiteX67" fmla="*/ 1727200 w 2933700"/>
              <a:gd name="connsiteY67" fmla="*/ 2048934 h 2091267"/>
              <a:gd name="connsiteX68" fmla="*/ 1837266 w 2933700"/>
              <a:gd name="connsiteY68" fmla="*/ 1993900 h 2091267"/>
              <a:gd name="connsiteX69" fmla="*/ 1896533 w 2933700"/>
              <a:gd name="connsiteY69" fmla="*/ 1985434 h 2091267"/>
              <a:gd name="connsiteX70" fmla="*/ 2006600 w 2933700"/>
              <a:gd name="connsiteY70" fmla="*/ 2010834 h 2091267"/>
              <a:gd name="connsiteX71" fmla="*/ 1938866 w 2933700"/>
              <a:gd name="connsiteY71" fmla="*/ 1934634 h 2091267"/>
              <a:gd name="connsiteX72" fmla="*/ 1938866 w 2933700"/>
              <a:gd name="connsiteY72" fmla="*/ 1583267 h 2091267"/>
              <a:gd name="connsiteX73" fmla="*/ 1976966 w 2933700"/>
              <a:gd name="connsiteY73" fmla="*/ 1515534 h 2091267"/>
              <a:gd name="connsiteX74" fmla="*/ 2006600 w 2933700"/>
              <a:gd name="connsiteY74" fmla="*/ 1447800 h 2091267"/>
              <a:gd name="connsiteX75" fmla="*/ 2036233 w 2933700"/>
              <a:gd name="connsiteY75" fmla="*/ 1413934 h 2091267"/>
              <a:gd name="connsiteX76" fmla="*/ 2108200 w 2933700"/>
              <a:gd name="connsiteY76" fmla="*/ 1358900 h 2091267"/>
              <a:gd name="connsiteX77" fmla="*/ 2209800 w 2933700"/>
              <a:gd name="connsiteY77" fmla="*/ 1350434 h 2091267"/>
              <a:gd name="connsiteX78" fmla="*/ 2273300 w 2933700"/>
              <a:gd name="connsiteY78" fmla="*/ 1265767 h 2091267"/>
              <a:gd name="connsiteX79" fmla="*/ 2408766 w 2933700"/>
              <a:gd name="connsiteY79" fmla="*/ 1176867 h 2091267"/>
              <a:gd name="connsiteX80" fmla="*/ 2527300 w 2933700"/>
              <a:gd name="connsiteY80" fmla="*/ 1134534 h 2091267"/>
              <a:gd name="connsiteX81" fmla="*/ 2565400 w 2933700"/>
              <a:gd name="connsiteY81" fmla="*/ 1189567 h 2091267"/>
              <a:gd name="connsiteX82" fmla="*/ 2595033 w 2933700"/>
              <a:gd name="connsiteY82" fmla="*/ 1206500 h 2091267"/>
              <a:gd name="connsiteX83" fmla="*/ 2611966 w 2933700"/>
              <a:gd name="connsiteY83" fmla="*/ 1206500 h 2091267"/>
              <a:gd name="connsiteX84" fmla="*/ 2650066 w 2933700"/>
              <a:gd name="connsiteY84" fmla="*/ 1130300 h 2091267"/>
              <a:gd name="connsiteX85" fmla="*/ 2722033 w 2933700"/>
              <a:gd name="connsiteY85" fmla="*/ 1109134 h 2091267"/>
              <a:gd name="connsiteX86" fmla="*/ 2713566 w 2933700"/>
              <a:gd name="connsiteY86" fmla="*/ 1083734 h 2091267"/>
              <a:gd name="connsiteX87" fmla="*/ 2768600 w 2933700"/>
              <a:gd name="connsiteY87" fmla="*/ 1024467 h 2091267"/>
              <a:gd name="connsiteX88" fmla="*/ 2810933 w 2933700"/>
              <a:gd name="connsiteY88" fmla="*/ 1024467 h 2091267"/>
              <a:gd name="connsiteX89" fmla="*/ 2827866 w 2933700"/>
              <a:gd name="connsiteY89" fmla="*/ 901700 h 2091267"/>
              <a:gd name="connsiteX90" fmla="*/ 2933700 w 2933700"/>
              <a:gd name="connsiteY90" fmla="*/ 778934 h 2091267"/>
              <a:gd name="connsiteX91" fmla="*/ 2857500 w 2933700"/>
              <a:gd name="connsiteY91" fmla="*/ 690034 h 2091267"/>
              <a:gd name="connsiteX92" fmla="*/ 2853266 w 2933700"/>
              <a:gd name="connsiteY92" fmla="*/ 609600 h 2091267"/>
              <a:gd name="connsiteX93" fmla="*/ 2832100 w 2933700"/>
              <a:gd name="connsiteY93" fmla="*/ 563034 h 2091267"/>
              <a:gd name="connsiteX94" fmla="*/ 2751666 w 2933700"/>
              <a:gd name="connsiteY94" fmla="*/ 533400 h 2091267"/>
              <a:gd name="connsiteX95" fmla="*/ 2726266 w 2933700"/>
              <a:gd name="connsiteY95" fmla="*/ 520700 h 2091267"/>
              <a:gd name="connsiteX96" fmla="*/ 2709333 w 2933700"/>
              <a:gd name="connsiteY96" fmla="*/ 520700 h 2091267"/>
              <a:gd name="connsiteX97" fmla="*/ 2683933 w 2933700"/>
              <a:gd name="connsiteY97" fmla="*/ 554567 h 2091267"/>
              <a:gd name="connsiteX98" fmla="*/ 2679700 w 2933700"/>
              <a:gd name="connsiteY98" fmla="*/ 499517 h 2091267"/>
              <a:gd name="connsiteX99" fmla="*/ 2582331 w 2933700"/>
              <a:gd name="connsiteY99" fmla="*/ 571496 h 2091267"/>
              <a:gd name="connsiteX100" fmla="*/ 2484966 w 2933700"/>
              <a:gd name="connsiteY100" fmla="*/ 486834 h 2091267"/>
              <a:gd name="connsiteX101" fmla="*/ 2396066 w 2933700"/>
              <a:gd name="connsiteY101" fmla="*/ 313267 h 2091267"/>
              <a:gd name="connsiteX102" fmla="*/ 2383366 w 2933700"/>
              <a:gd name="connsiteY102" fmla="*/ 211667 h 2091267"/>
              <a:gd name="connsiteX103" fmla="*/ 2252139 w 2933700"/>
              <a:gd name="connsiteY103" fmla="*/ 97362 h 2091267"/>
              <a:gd name="connsiteX104" fmla="*/ 2218265 w 2933700"/>
              <a:gd name="connsiteY104" fmla="*/ 139683 h 2091267"/>
              <a:gd name="connsiteX105" fmla="*/ 2142066 w 2933700"/>
              <a:gd name="connsiteY105" fmla="*/ 127000 h 2091267"/>
              <a:gd name="connsiteX106" fmla="*/ 2116666 w 2933700"/>
              <a:gd name="connsiteY106" fmla="*/ 46567 h 2091267"/>
              <a:gd name="connsiteX107" fmla="*/ 2105335 w 2933700"/>
              <a:gd name="connsiteY107" fmla="*/ 30312 h 2091267"/>
              <a:gd name="connsiteX108" fmla="*/ 1981200 w 2933700"/>
              <a:gd name="connsiteY108" fmla="*/ 101600 h 2091267"/>
              <a:gd name="connsiteX109" fmla="*/ 1892300 w 2933700"/>
              <a:gd name="connsiteY109" fmla="*/ 300567 h 2091267"/>
              <a:gd name="connsiteX110" fmla="*/ 1854200 w 2933700"/>
              <a:gd name="connsiteY110" fmla="*/ 241300 h 2091267"/>
              <a:gd name="connsiteX111" fmla="*/ 1862666 w 2933700"/>
              <a:gd name="connsiteY111" fmla="*/ 186267 h 2091267"/>
              <a:gd name="connsiteX112" fmla="*/ 1824566 w 2933700"/>
              <a:gd name="connsiteY112" fmla="*/ 160867 h 2091267"/>
              <a:gd name="connsiteX113" fmla="*/ 1816100 w 2933700"/>
              <a:gd name="connsiteY113" fmla="*/ 114300 h 2091267"/>
              <a:gd name="connsiteX114" fmla="*/ 1752602 w 2933700"/>
              <a:gd name="connsiteY114" fmla="*/ 63487 h 2091267"/>
              <a:gd name="connsiteX115" fmla="*/ 1689100 w 2933700"/>
              <a:gd name="connsiteY115" fmla="*/ 122767 h 2091267"/>
              <a:gd name="connsiteX116" fmla="*/ 1651000 w 2933700"/>
              <a:gd name="connsiteY116" fmla="*/ 232834 h 2091267"/>
              <a:gd name="connsiteX117" fmla="*/ 1600200 w 2933700"/>
              <a:gd name="connsiteY117" fmla="*/ 300567 h 2091267"/>
              <a:gd name="connsiteX118" fmla="*/ 1532470 w 2933700"/>
              <a:gd name="connsiteY118" fmla="*/ 270917 h 2091267"/>
              <a:gd name="connsiteX119" fmla="*/ 1460500 w 2933700"/>
              <a:gd name="connsiteY119" fmla="*/ 317500 h 2091267"/>
              <a:gd name="connsiteX120" fmla="*/ 1413933 w 2933700"/>
              <a:gd name="connsiteY120" fmla="*/ 245534 h 2091267"/>
              <a:gd name="connsiteX121" fmla="*/ 1430866 w 2933700"/>
              <a:gd name="connsiteY121" fmla="*/ 190500 h 2091267"/>
              <a:gd name="connsiteX122" fmla="*/ 1384300 w 2933700"/>
              <a:gd name="connsiteY122" fmla="*/ 105834 h 2091267"/>
              <a:gd name="connsiteX123" fmla="*/ 1380066 w 2933700"/>
              <a:gd name="connsiteY123" fmla="*/ 42334 h 209126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Lst>
            <a:rect l="l" t="t" r="r" b="b"/>
            <a:pathLst>
              <a:path w="2933700" h="2091267">
                <a:moveTo>
                  <a:pt x="1380066" y="42334"/>
                </a:moveTo>
                <a:lnTo>
                  <a:pt x="1299633" y="42334"/>
                </a:lnTo>
                <a:lnTo>
                  <a:pt x="1231900" y="71967"/>
                </a:lnTo>
                <a:lnTo>
                  <a:pt x="1138766" y="0"/>
                </a:lnTo>
                <a:lnTo>
                  <a:pt x="1041400" y="4234"/>
                </a:lnTo>
                <a:lnTo>
                  <a:pt x="1011766" y="139700"/>
                </a:lnTo>
                <a:lnTo>
                  <a:pt x="956733" y="177800"/>
                </a:lnTo>
                <a:lnTo>
                  <a:pt x="956733" y="224367"/>
                </a:lnTo>
                <a:lnTo>
                  <a:pt x="893233" y="258234"/>
                </a:lnTo>
                <a:lnTo>
                  <a:pt x="821266" y="347134"/>
                </a:lnTo>
                <a:lnTo>
                  <a:pt x="783166" y="381000"/>
                </a:lnTo>
                <a:lnTo>
                  <a:pt x="817033" y="503767"/>
                </a:lnTo>
                <a:lnTo>
                  <a:pt x="732366" y="529167"/>
                </a:lnTo>
                <a:lnTo>
                  <a:pt x="715433" y="567267"/>
                </a:lnTo>
                <a:lnTo>
                  <a:pt x="749300" y="579967"/>
                </a:lnTo>
                <a:lnTo>
                  <a:pt x="698500" y="647700"/>
                </a:lnTo>
                <a:lnTo>
                  <a:pt x="711200" y="685800"/>
                </a:lnTo>
                <a:lnTo>
                  <a:pt x="668866" y="685800"/>
                </a:lnTo>
                <a:lnTo>
                  <a:pt x="635000" y="749300"/>
                </a:lnTo>
                <a:lnTo>
                  <a:pt x="588433" y="762000"/>
                </a:lnTo>
                <a:lnTo>
                  <a:pt x="491066" y="749300"/>
                </a:lnTo>
                <a:lnTo>
                  <a:pt x="427566" y="778934"/>
                </a:lnTo>
                <a:lnTo>
                  <a:pt x="321733" y="778934"/>
                </a:lnTo>
                <a:lnTo>
                  <a:pt x="296333" y="808567"/>
                </a:lnTo>
                <a:lnTo>
                  <a:pt x="254000" y="808567"/>
                </a:lnTo>
                <a:lnTo>
                  <a:pt x="228600" y="855134"/>
                </a:lnTo>
                <a:lnTo>
                  <a:pt x="211666" y="817034"/>
                </a:lnTo>
                <a:lnTo>
                  <a:pt x="84666" y="859367"/>
                </a:lnTo>
                <a:lnTo>
                  <a:pt x="80428" y="935572"/>
                </a:lnTo>
                <a:lnTo>
                  <a:pt x="38100" y="1062567"/>
                </a:lnTo>
                <a:lnTo>
                  <a:pt x="50800" y="1100667"/>
                </a:lnTo>
                <a:lnTo>
                  <a:pt x="126996" y="1104905"/>
                </a:lnTo>
                <a:lnTo>
                  <a:pt x="165097" y="1185334"/>
                </a:lnTo>
                <a:lnTo>
                  <a:pt x="190497" y="1227667"/>
                </a:lnTo>
                <a:lnTo>
                  <a:pt x="198966" y="1316567"/>
                </a:lnTo>
                <a:lnTo>
                  <a:pt x="182033" y="1354667"/>
                </a:lnTo>
                <a:lnTo>
                  <a:pt x="76200" y="1477434"/>
                </a:lnTo>
                <a:lnTo>
                  <a:pt x="80433" y="1524000"/>
                </a:lnTo>
                <a:lnTo>
                  <a:pt x="42333" y="1528234"/>
                </a:lnTo>
                <a:lnTo>
                  <a:pt x="25400" y="1562100"/>
                </a:lnTo>
                <a:lnTo>
                  <a:pt x="12700" y="1587500"/>
                </a:lnTo>
                <a:lnTo>
                  <a:pt x="0" y="1659467"/>
                </a:lnTo>
                <a:lnTo>
                  <a:pt x="0" y="1676400"/>
                </a:lnTo>
                <a:lnTo>
                  <a:pt x="156633" y="1799167"/>
                </a:lnTo>
                <a:lnTo>
                  <a:pt x="296333" y="1765300"/>
                </a:lnTo>
                <a:lnTo>
                  <a:pt x="330200" y="1794934"/>
                </a:lnTo>
                <a:lnTo>
                  <a:pt x="474133" y="1794934"/>
                </a:lnTo>
                <a:lnTo>
                  <a:pt x="529166" y="1807634"/>
                </a:lnTo>
                <a:lnTo>
                  <a:pt x="571500" y="1769534"/>
                </a:lnTo>
                <a:lnTo>
                  <a:pt x="567266" y="1701800"/>
                </a:lnTo>
                <a:lnTo>
                  <a:pt x="592666" y="1680634"/>
                </a:lnTo>
                <a:lnTo>
                  <a:pt x="808566" y="1739900"/>
                </a:lnTo>
                <a:lnTo>
                  <a:pt x="859366" y="1794934"/>
                </a:lnTo>
                <a:lnTo>
                  <a:pt x="948266" y="1790700"/>
                </a:lnTo>
                <a:lnTo>
                  <a:pt x="1024466" y="1879600"/>
                </a:lnTo>
                <a:lnTo>
                  <a:pt x="1037166" y="1841500"/>
                </a:lnTo>
                <a:lnTo>
                  <a:pt x="1075266" y="1849967"/>
                </a:lnTo>
                <a:lnTo>
                  <a:pt x="1206500" y="1905000"/>
                </a:lnTo>
                <a:lnTo>
                  <a:pt x="1193800" y="1960034"/>
                </a:lnTo>
                <a:lnTo>
                  <a:pt x="1286933" y="1989667"/>
                </a:lnTo>
                <a:lnTo>
                  <a:pt x="1325033" y="2070100"/>
                </a:lnTo>
                <a:lnTo>
                  <a:pt x="1371600" y="2082800"/>
                </a:lnTo>
                <a:lnTo>
                  <a:pt x="1418166" y="2023534"/>
                </a:lnTo>
                <a:lnTo>
                  <a:pt x="1515533" y="2036234"/>
                </a:lnTo>
                <a:lnTo>
                  <a:pt x="1562100" y="2044700"/>
                </a:lnTo>
                <a:lnTo>
                  <a:pt x="1638300" y="2091267"/>
                </a:lnTo>
                <a:lnTo>
                  <a:pt x="1718733" y="2087034"/>
                </a:lnTo>
                <a:lnTo>
                  <a:pt x="1727200" y="2048934"/>
                </a:lnTo>
                <a:lnTo>
                  <a:pt x="1837266" y="1993900"/>
                </a:lnTo>
                <a:lnTo>
                  <a:pt x="1896533" y="1985434"/>
                </a:lnTo>
                <a:lnTo>
                  <a:pt x="2006600" y="2010834"/>
                </a:lnTo>
                <a:lnTo>
                  <a:pt x="1938866" y="1934634"/>
                </a:lnTo>
                <a:lnTo>
                  <a:pt x="1938866" y="1583267"/>
                </a:lnTo>
                <a:lnTo>
                  <a:pt x="1976966" y="1515534"/>
                </a:lnTo>
                <a:lnTo>
                  <a:pt x="2006600" y="1447800"/>
                </a:lnTo>
                <a:lnTo>
                  <a:pt x="2036233" y="1413934"/>
                </a:lnTo>
                <a:lnTo>
                  <a:pt x="2108200" y="1358900"/>
                </a:lnTo>
                <a:lnTo>
                  <a:pt x="2209800" y="1350434"/>
                </a:lnTo>
                <a:lnTo>
                  <a:pt x="2273300" y="1265767"/>
                </a:lnTo>
                <a:lnTo>
                  <a:pt x="2408766" y="1176867"/>
                </a:lnTo>
                <a:lnTo>
                  <a:pt x="2527300" y="1134534"/>
                </a:lnTo>
                <a:lnTo>
                  <a:pt x="2565400" y="1189567"/>
                </a:lnTo>
                <a:lnTo>
                  <a:pt x="2595033" y="1206500"/>
                </a:lnTo>
                <a:lnTo>
                  <a:pt x="2611966" y="1206500"/>
                </a:lnTo>
                <a:lnTo>
                  <a:pt x="2650066" y="1130300"/>
                </a:lnTo>
                <a:lnTo>
                  <a:pt x="2722033" y="1109134"/>
                </a:lnTo>
                <a:lnTo>
                  <a:pt x="2713566" y="1083734"/>
                </a:lnTo>
                <a:lnTo>
                  <a:pt x="2768600" y="1024467"/>
                </a:lnTo>
                <a:lnTo>
                  <a:pt x="2810933" y="1024467"/>
                </a:lnTo>
                <a:lnTo>
                  <a:pt x="2827866" y="901700"/>
                </a:lnTo>
                <a:lnTo>
                  <a:pt x="2933700" y="778934"/>
                </a:lnTo>
                <a:lnTo>
                  <a:pt x="2857500" y="690034"/>
                </a:lnTo>
                <a:lnTo>
                  <a:pt x="2853266" y="609600"/>
                </a:lnTo>
                <a:lnTo>
                  <a:pt x="2832100" y="563034"/>
                </a:lnTo>
                <a:lnTo>
                  <a:pt x="2751666" y="533400"/>
                </a:lnTo>
                <a:lnTo>
                  <a:pt x="2726266" y="520700"/>
                </a:lnTo>
                <a:lnTo>
                  <a:pt x="2709333" y="520700"/>
                </a:lnTo>
                <a:lnTo>
                  <a:pt x="2683933" y="554567"/>
                </a:lnTo>
                <a:lnTo>
                  <a:pt x="2679700" y="499517"/>
                </a:lnTo>
                <a:lnTo>
                  <a:pt x="2582331" y="571496"/>
                </a:lnTo>
                <a:lnTo>
                  <a:pt x="2484966" y="486834"/>
                </a:lnTo>
                <a:lnTo>
                  <a:pt x="2396066" y="313267"/>
                </a:lnTo>
                <a:lnTo>
                  <a:pt x="2383366" y="211667"/>
                </a:lnTo>
                <a:lnTo>
                  <a:pt x="2252139" y="97362"/>
                </a:lnTo>
                <a:lnTo>
                  <a:pt x="2218265" y="139683"/>
                </a:lnTo>
                <a:lnTo>
                  <a:pt x="2142066" y="127000"/>
                </a:lnTo>
                <a:lnTo>
                  <a:pt x="2116666" y="46567"/>
                </a:lnTo>
                <a:cubicBezTo>
                  <a:pt x="2110066" y="48211"/>
                  <a:pt x="2111935" y="28668"/>
                  <a:pt x="2105335" y="30312"/>
                </a:cubicBezTo>
                <a:lnTo>
                  <a:pt x="1981200" y="101600"/>
                </a:lnTo>
                <a:lnTo>
                  <a:pt x="1892300" y="300567"/>
                </a:lnTo>
                <a:lnTo>
                  <a:pt x="1854200" y="241300"/>
                </a:lnTo>
                <a:lnTo>
                  <a:pt x="1862666" y="186267"/>
                </a:lnTo>
                <a:lnTo>
                  <a:pt x="1824566" y="160867"/>
                </a:lnTo>
                <a:lnTo>
                  <a:pt x="1816100" y="114300"/>
                </a:lnTo>
                <a:lnTo>
                  <a:pt x="1752602" y="63487"/>
                </a:lnTo>
                <a:lnTo>
                  <a:pt x="1689100" y="122767"/>
                </a:lnTo>
                <a:lnTo>
                  <a:pt x="1651000" y="232834"/>
                </a:lnTo>
                <a:lnTo>
                  <a:pt x="1600200" y="300567"/>
                </a:lnTo>
                <a:lnTo>
                  <a:pt x="1532470" y="270917"/>
                </a:lnTo>
                <a:lnTo>
                  <a:pt x="1460500" y="317500"/>
                </a:lnTo>
                <a:lnTo>
                  <a:pt x="1413933" y="245534"/>
                </a:lnTo>
                <a:lnTo>
                  <a:pt x="1430866" y="190500"/>
                </a:lnTo>
                <a:lnTo>
                  <a:pt x="1384300" y="105834"/>
                </a:lnTo>
                <a:lnTo>
                  <a:pt x="1380066" y="42334"/>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27" name="Aquitaine">
            <a:extLst>
              <a:ext uri="{FF2B5EF4-FFF2-40B4-BE49-F238E27FC236}">
                <a16:creationId xmlns:a16="http://schemas.microsoft.com/office/drawing/2014/main" id="{00000000-0008-0000-0100-000047010000}"/>
              </a:ext>
            </a:extLst>
          </xdr:cNvPr>
          <xdr:cNvSpPr/>
        </xdr:nvSpPr>
        <xdr:spPr>
          <a:xfrm>
            <a:off x="2391349" y="4204557"/>
            <a:ext cx="2735444" cy="3310277"/>
          </a:xfrm>
          <a:custGeom>
            <a:avLst/>
            <a:gdLst>
              <a:gd name="connsiteX0" fmla="*/ 1126671 w 2487385"/>
              <a:gd name="connsiteY0" fmla="*/ 0 h 3450772"/>
              <a:gd name="connsiteX1" fmla="*/ 1181100 w 2487385"/>
              <a:gd name="connsiteY1" fmla="*/ 38100 h 3450772"/>
              <a:gd name="connsiteX2" fmla="*/ 1191985 w 2487385"/>
              <a:gd name="connsiteY2" fmla="*/ 87086 h 3450772"/>
              <a:gd name="connsiteX3" fmla="*/ 1230085 w 2487385"/>
              <a:gd name="connsiteY3" fmla="*/ 76200 h 3450772"/>
              <a:gd name="connsiteX4" fmla="*/ 1246414 w 2487385"/>
              <a:gd name="connsiteY4" fmla="*/ 141514 h 3450772"/>
              <a:gd name="connsiteX5" fmla="*/ 1246414 w 2487385"/>
              <a:gd name="connsiteY5" fmla="*/ 163286 h 3450772"/>
              <a:gd name="connsiteX6" fmla="*/ 1268185 w 2487385"/>
              <a:gd name="connsiteY6" fmla="*/ 179614 h 3450772"/>
              <a:gd name="connsiteX7" fmla="*/ 1398814 w 2487385"/>
              <a:gd name="connsiteY7" fmla="*/ 174172 h 3450772"/>
              <a:gd name="connsiteX8" fmla="*/ 1409700 w 2487385"/>
              <a:gd name="connsiteY8" fmla="*/ 174172 h 3450772"/>
              <a:gd name="connsiteX9" fmla="*/ 1398814 w 2487385"/>
              <a:gd name="connsiteY9" fmla="*/ 130629 h 3450772"/>
              <a:gd name="connsiteX10" fmla="*/ 1458685 w 2487385"/>
              <a:gd name="connsiteY10" fmla="*/ 174172 h 3450772"/>
              <a:gd name="connsiteX11" fmla="*/ 1464128 w 2487385"/>
              <a:gd name="connsiteY11" fmla="*/ 212272 h 3450772"/>
              <a:gd name="connsiteX12" fmla="*/ 1480457 w 2487385"/>
              <a:gd name="connsiteY12" fmla="*/ 250372 h 3450772"/>
              <a:gd name="connsiteX13" fmla="*/ 1583871 w 2487385"/>
              <a:gd name="connsiteY13" fmla="*/ 370114 h 3450772"/>
              <a:gd name="connsiteX14" fmla="*/ 1589314 w 2487385"/>
              <a:gd name="connsiteY14" fmla="*/ 386443 h 3450772"/>
              <a:gd name="connsiteX15" fmla="*/ 1567542 w 2487385"/>
              <a:gd name="connsiteY15" fmla="*/ 446314 h 3450772"/>
              <a:gd name="connsiteX16" fmla="*/ 1632857 w 2487385"/>
              <a:gd name="connsiteY16" fmla="*/ 511629 h 3450772"/>
              <a:gd name="connsiteX17" fmla="*/ 1676400 w 2487385"/>
              <a:gd name="connsiteY17" fmla="*/ 506186 h 3450772"/>
              <a:gd name="connsiteX18" fmla="*/ 1687285 w 2487385"/>
              <a:gd name="connsiteY18" fmla="*/ 576943 h 3450772"/>
              <a:gd name="connsiteX19" fmla="*/ 1730828 w 2487385"/>
              <a:gd name="connsiteY19" fmla="*/ 582386 h 3450772"/>
              <a:gd name="connsiteX20" fmla="*/ 1714500 w 2487385"/>
              <a:gd name="connsiteY20" fmla="*/ 636814 h 3450772"/>
              <a:gd name="connsiteX21" fmla="*/ 1747157 w 2487385"/>
              <a:gd name="connsiteY21" fmla="*/ 647700 h 3450772"/>
              <a:gd name="connsiteX22" fmla="*/ 1807028 w 2487385"/>
              <a:gd name="connsiteY22" fmla="*/ 625929 h 3450772"/>
              <a:gd name="connsiteX23" fmla="*/ 1839685 w 2487385"/>
              <a:gd name="connsiteY23" fmla="*/ 658586 h 3450772"/>
              <a:gd name="connsiteX24" fmla="*/ 1877785 w 2487385"/>
              <a:gd name="connsiteY24" fmla="*/ 620486 h 3450772"/>
              <a:gd name="connsiteX25" fmla="*/ 2024742 w 2487385"/>
              <a:gd name="connsiteY25" fmla="*/ 625929 h 3450772"/>
              <a:gd name="connsiteX26" fmla="*/ 2046514 w 2487385"/>
              <a:gd name="connsiteY26" fmla="*/ 593272 h 3450772"/>
              <a:gd name="connsiteX27" fmla="*/ 2193471 w 2487385"/>
              <a:gd name="connsiteY27" fmla="*/ 609600 h 3450772"/>
              <a:gd name="connsiteX28" fmla="*/ 2318657 w 2487385"/>
              <a:gd name="connsiteY28" fmla="*/ 609600 h 3450772"/>
              <a:gd name="connsiteX29" fmla="*/ 2324100 w 2487385"/>
              <a:gd name="connsiteY29" fmla="*/ 658586 h 3450772"/>
              <a:gd name="connsiteX30" fmla="*/ 2427514 w 2487385"/>
              <a:gd name="connsiteY30" fmla="*/ 718457 h 3450772"/>
              <a:gd name="connsiteX31" fmla="*/ 2460171 w 2487385"/>
              <a:gd name="connsiteY31" fmla="*/ 821872 h 3450772"/>
              <a:gd name="connsiteX32" fmla="*/ 2460171 w 2487385"/>
              <a:gd name="connsiteY32" fmla="*/ 865414 h 3450772"/>
              <a:gd name="connsiteX33" fmla="*/ 2460171 w 2487385"/>
              <a:gd name="connsiteY33" fmla="*/ 887186 h 3450772"/>
              <a:gd name="connsiteX34" fmla="*/ 2487385 w 2487385"/>
              <a:gd name="connsiteY34" fmla="*/ 952500 h 3450772"/>
              <a:gd name="connsiteX35" fmla="*/ 2367642 w 2487385"/>
              <a:gd name="connsiteY35" fmla="*/ 1072243 h 3450772"/>
              <a:gd name="connsiteX36" fmla="*/ 2427514 w 2487385"/>
              <a:gd name="connsiteY36" fmla="*/ 1143000 h 3450772"/>
              <a:gd name="connsiteX37" fmla="*/ 2443842 w 2487385"/>
              <a:gd name="connsiteY37" fmla="*/ 1208314 h 3450772"/>
              <a:gd name="connsiteX38" fmla="*/ 2427514 w 2487385"/>
              <a:gd name="connsiteY38" fmla="*/ 1257300 h 3450772"/>
              <a:gd name="connsiteX39" fmla="*/ 2449285 w 2487385"/>
              <a:gd name="connsiteY39" fmla="*/ 1420586 h 3450772"/>
              <a:gd name="connsiteX40" fmla="*/ 2383971 w 2487385"/>
              <a:gd name="connsiteY40" fmla="*/ 1404257 h 3450772"/>
              <a:gd name="connsiteX41" fmla="*/ 2373085 w 2487385"/>
              <a:gd name="connsiteY41" fmla="*/ 1415143 h 3450772"/>
              <a:gd name="connsiteX42" fmla="*/ 2362200 w 2487385"/>
              <a:gd name="connsiteY42" fmla="*/ 1447800 h 3450772"/>
              <a:gd name="connsiteX43" fmla="*/ 2258785 w 2487385"/>
              <a:gd name="connsiteY43" fmla="*/ 1562100 h 3450772"/>
              <a:gd name="connsiteX44" fmla="*/ 2275114 w 2487385"/>
              <a:gd name="connsiteY44" fmla="*/ 1594757 h 3450772"/>
              <a:gd name="connsiteX45" fmla="*/ 2247900 w 2487385"/>
              <a:gd name="connsiteY45" fmla="*/ 1627414 h 3450772"/>
              <a:gd name="connsiteX46" fmla="*/ 2247900 w 2487385"/>
              <a:gd name="connsiteY46" fmla="*/ 1676400 h 3450772"/>
              <a:gd name="connsiteX47" fmla="*/ 2215242 w 2487385"/>
              <a:gd name="connsiteY47" fmla="*/ 1692729 h 3450772"/>
              <a:gd name="connsiteX48" fmla="*/ 2209800 w 2487385"/>
              <a:gd name="connsiteY48" fmla="*/ 1741714 h 3450772"/>
              <a:gd name="connsiteX49" fmla="*/ 2198914 w 2487385"/>
              <a:gd name="connsiteY49" fmla="*/ 1763486 h 3450772"/>
              <a:gd name="connsiteX50" fmla="*/ 2106385 w 2487385"/>
              <a:gd name="connsiteY50" fmla="*/ 1763486 h 3450772"/>
              <a:gd name="connsiteX51" fmla="*/ 2046514 w 2487385"/>
              <a:gd name="connsiteY51" fmla="*/ 1779814 h 3450772"/>
              <a:gd name="connsiteX52" fmla="*/ 1943100 w 2487385"/>
              <a:gd name="connsiteY52" fmla="*/ 1714500 h 3450772"/>
              <a:gd name="connsiteX53" fmla="*/ 1845128 w 2487385"/>
              <a:gd name="connsiteY53" fmla="*/ 1714500 h 3450772"/>
              <a:gd name="connsiteX54" fmla="*/ 1823357 w 2487385"/>
              <a:gd name="connsiteY54" fmla="*/ 1845129 h 3450772"/>
              <a:gd name="connsiteX55" fmla="*/ 1768928 w 2487385"/>
              <a:gd name="connsiteY55" fmla="*/ 1888672 h 3450772"/>
              <a:gd name="connsiteX56" fmla="*/ 1763485 w 2487385"/>
              <a:gd name="connsiteY56" fmla="*/ 1937657 h 3450772"/>
              <a:gd name="connsiteX57" fmla="*/ 1714500 w 2487385"/>
              <a:gd name="connsiteY57" fmla="*/ 1959429 h 3450772"/>
              <a:gd name="connsiteX58" fmla="*/ 1621971 w 2487385"/>
              <a:gd name="connsiteY58" fmla="*/ 2073729 h 3450772"/>
              <a:gd name="connsiteX59" fmla="*/ 1589314 w 2487385"/>
              <a:gd name="connsiteY59" fmla="*/ 2100943 h 3450772"/>
              <a:gd name="connsiteX60" fmla="*/ 1616528 w 2487385"/>
              <a:gd name="connsiteY60" fmla="*/ 2220686 h 3450772"/>
              <a:gd name="connsiteX61" fmla="*/ 1529442 w 2487385"/>
              <a:gd name="connsiteY61" fmla="*/ 2253343 h 3450772"/>
              <a:gd name="connsiteX62" fmla="*/ 1534885 w 2487385"/>
              <a:gd name="connsiteY62" fmla="*/ 2280557 h 3450772"/>
              <a:gd name="connsiteX63" fmla="*/ 1524000 w 2487385"/>
              <a:gd name="connsiteY63" fmla="*/ 2291443 h 3450772"/>
              <a:gd name="connsiteX64" fmla="*/ 1556657 w 2487385"/>
              <a:gd name="connsiteY64" fmla="*/ 2307772 h 3450772"/>
              <a:gd name="connsiteX65" fmla="*/ 1507671 w 2487385"/>
              <a:gd name="connsiteY65" fmla="*/ 2383972 h 3450772"/>
              <a:gd name="connsiteX66" fmla="*/ 1524000 w 2487385"/>
              <a:gd name="connsiteY66" fmla="*/ 2416629 h 3450772"/>
              <a:gd name="connsiteX67" fmla="*/ 1485900 w 2487385"/>
              <a:gd name="connsiteY67" fmla="*/ 2411186 h 3450772"/>
              <a:gd name="connsiteX68" fmla="*/ 1442357 w 2487385"/>
              <a:gd name="connsiteY68" fmla="*/ 2481943 h 3450772"/>
              <a:gd name="connsiteX69" fmla="*/ 1382485 w 2487385"/>
              <a:gd name="connsiteY69" fmla="*/ 2492829 h 3450772"/>
              <a:gd name="connsiteX70" fmla="*/ 1295400 w 2487385"/>
              <a:gd name="connsiteY70" fmla="*/ 2471057 h 3450772"/>
              <a:gd name="connsiteX71" fmla="*/ 1246414 w 2487385"/>
              <a:gd name="connsiteY71" fmla="*/ 2503714 h 3450772"/>
              <a:gd name="connsiteX72" fmla="*/ 1208314 w 2487385"/>
              <a:gd name="connsiteY72" fmla="*/ 2509157 h 3450772"/>
              <a:gd name="connsiteX73" fmla="*/ 1132114 w 2487385"/>
              <a:gd name="connsiteY73" fmla="*/ 2509157 h 3450772"/>
              <a:gd name="connsiteX74" fmla="*/ 1121228 w 2487385"/>
              <a:gd name="connsiteY74" fmla="*/ 2503714 h 3450772"/>
              <a:gd name="connsiteX75" fmla="*/ 1104900 w 2487385"/>
              <a:gd name="connsiteY75" fmla="*/ 2541814 h 3450772"/>
              <a:gd name="connsiteX76" fmla="*/ 1066800 w 2487385"/>
              <a:gd name="connsiteY76" fmla="*/ 2530929 h 3450772"/>
              <a:gd name="connsiteX77" fmla="*/ 1034142 w 2487385"/>
              <a:gd name="connsiteY77" fmla="*/ 2585357 h 3450772"/>
              <a:gd name="connsiteX78" fmla="*/ 1012371 w 2487385"/>
              <a:gd name="connsiteY78" fmla="*/ 2547257 h 3450772"/>
              <a:gd name="connsiteX79" fmla="*/ 892628 w 2487385"/>
              <a:gd name="connsiteY79" fmla="*/ 2585357 h 3450772"/>
              <a:gd name="connsiteX80" fmla="*/ 887185 w 2487385"/>
              <a:gd name="connsiteY80" fmla="*/ 2590800 h 3450772"/>
              <a:gd name="connsiteX81" fmla="*/ 898071 w 2487385"/>
              <a:gd name="connsiteY81" fmla="*/ 2661557 h 3450772"/>
              <a:gd name="connsiteX82" fmla="*/ 838200 w 2487385"/>
              <a:gd name="connsiteY82" fmla="*/ 2786743 h 3450772"/>
              <a:gd name="connsiteX83" fmla="*/ 854528 w 2487385"/>
              <a:gd name="connsiteY83" fmla="*/ 2830286 h 3450772"/>
              <a:gd name="connsiteX84" fmla="*/ 936171 w 2487385"/>
              <a:gd name="connsiteY84" fmla="*/ 2824843 h 3450772"/>
              <a:gd name="connsiteX85" fmla="*/ 979714 w 2487385"/>
              <a:gd name="connsiteY85" fmla="*/ 2906486 h 3450772"/>
              <a:gd name="connsiteX86" fmla="*/ 985157 w 2487385"/>
              <a:gd name="connsiteY86" fmla="*/ 2911929 h 3450772"/>
              <a:gd name="connsiteX87" fmla="*/ 985157 w 2487385"/>
              <a:gd name="connsiteY87" fmla="*/ 2911929 h 3450772"/>
              <a:gd name="connsiteX88" fmla="*/ 1001485 w 2487385"/>
              <a:gd name="connsiteY88" fmla="*/ 2960914 h 3450772"/>
              <a:gd name="connsiteX89" fmla="*/ 1006928 w 2487385"/>
              <a:gd name="connsiteY89" fmla="*/ 3048000 h 3450772"/>
              <a:gd name="connsiteX90" fmla="*/ 979714 w 2487385"/>
              <a:gd name="connsiteY90" fmla="*/ 3053443 h 3450772"/>
              <a:gd name="connsiteX91" fmla="*/ 974271 w 2487385"/>
              <a:gd name="connsiteY91" fmla="*/ 3053443 h 3450772"/>
              <a:gd name="connsiteX92" fmla="*/ 985157 w 2487385"/>
              <a:gd name="connsiteY92" fmla="*/ 3086100 h 3450772"/>
              <a:gd name="connsiteX93" fmla="*/ 881742 w 2487385"/>
              <a:gd name="connsiteY93" fmla="*/ 3216729 h 3450772"/>
              <a:gd name="connsiteX94" fmla="*/ 892628 w 2487385"/>
              <a:gd name="connsiteY94" fmla="*/ 3260272 h 3450772"/>
              <a:gd name="connsiteX95" fmla="*/ 849085 w 2487385"/>
              <a:gd name="connsiteY95" fmla="*/ 3276600 h 3450772"/>
              <a:gd name="connsiteX96" fmla="*/ 827314 w 2487385"/>
              <a:gd name="connsiteY96" fmla="*/ 3320143 h 3450772"/>
              <a:gd name="connsiteX97" fmla="*/ 810985 w 2487385"/>
              <a:gd name="connsiteY97" fmla="*/ 3369129 h 3450772"/>
              <a:gd name="connsiteX98" fmla="*/ 805542 w 2487385"/>
              <a:gd name="connsiteY98" fmla="*/ 3407229 h 3450772"/>
              <a:gd name="connsiteX99" fmla="*/ 805542 w 2487385"/>
              <a:gd name="connsiteY99" fmla="*/ 3423557 h 3450772"/>
              <a:gd name="connsiteX100" fmla="*/ 800100 w 2487385"/>
              <a:gd name="connsiteY100" fmla="*/ 3418114 h 3450772"/>
              <a:gd name="connsiteX101" fmla="*/ 778328 w 2487385"/>
              <a:gd name="connsiteY101" fmla="*/ 3418114 h 3450772"/>
              <a:gd name="connsiteX102" fmla="*/ 740228 w 2487385"/>
              <a:gd name="connsiteY102" fmla="*/ 3445329 h 3450772"/>
              <a:gd name="connsiteX103" fmla="*/ 702128 w 2487385"/>
              <a:gd name="connsiteY103" fmla="*/ 3434443 h 3450772"/>
              <a:gd name="connsiteX104" fmla="*/ 702128 w 2487385"/>
              <a:gd name="connsiteY104" fmla="*/ 3434443 h 3450772"/>
              <a:gd name="connsiteX105" fmla="*/ 664028 w 2487385"/>
              <a:gd name="connsiteY105" fmla="*/ 3450772 h 3450772"/>
              <a:gd name="connsiteX106" fmla="*/ 571500 w 2487385"/>
              <a:gd name="connsiteY106" fmla="*/ 3380014 h 3450772"/>
              <a:gd name="connsiteX107" fmla="*/ 533400 w 2487385"/>
              <a:gd name="connsiteY107" fmla="*/ 3309257 h 3450772"/>
              <a:gd name="connsiteX108" fmla="*/ 462642 w 2487385"/>
              <a:gd name="connsiteY108" fmla="*/ 3303814 h 3450772"/>
              <a:gd name="connsiteX109" fmla="*/ 277585 w 2487385"/>
              <a:gd name="connsiteY109" fmla="*/ 3243943 h 3450772"/>
              <a:gd name="connsiteX110" fmla="*/ 266700 w 2487385"/>
              <a:gd name="connsiteY110" fmla="*/ 3194957 h 3450772"/>
              <a:gd name="connsiteX111" fmla="*/ 228600 w 2487385"/>
              <a:gd name="connsiteY111" fmla="*/ 3194957 h 3450772"/>
              <a:gd name="connsiteX112" fmla="*/ 223157 w 2487385"/>
              <a:gd name="connsiteY112" fmla="*/ 3216729 h 3450772"/>
              <a:gd name="connsiteX113" fmla="*/ 223157 w 2487385"/>
              <a:gd name="connsiteY113" fmla="*/ 3243943 h 3450772"/>
              <a:gd name="connsiteX114" fmla="*/ 190500 w 2487385"/>
              <a:gd name="connsiteY114" fmla="*/ 3233057 h 3450772"/>
              <a:gd name="connsiteX115" fmla="*/ 163285 w 2487385"/>
              <a:gd name="connsiteY115" fmla="*/ 3211286 h 3450772"/>
              <a:gd name="connsiteX116" fmla="*/ 152400 w 2487385"/>
              <a:gd name="connsiteY116" fmla="*/ 3194957 h 3450772"/>
              <a:gd name="connsiteX117" fmla="*/ 174171 w 2487385"/>
              <a:gd name="connsiteY117" fmla="*/ 3151414 h 3450772"/>
              <a:gd name="connsiteX118" fmla="*/ 201385 w 2487385"/>
              <a:gd name="connsiteY118" fmla="*/ 3102429 h 3450772"/>
              <a:gd name="connsiteX119" fmla="*/ 185057 w 2487385"/>
              <a:gd name="connsiteY119" fmla="*/ 3064329 h 3450772"/>
              <a:gd name="connsiteX120" fmla="*/ 185057 w 2487385"/>
              <a:gd name="connsiteY120" fmla="*/ 3042557 h 3450772"/>
              <a:gd name="connsiteX121" fmla="*/ 125185 w 2487385"/>
              <a:gd name="connsiteY121" fmla="*/ 3042557 h 3450772"/>
              <a:gd name="connsiteX122" fmla="*/ 103414 w 2487385"/>
              <a:gd name="connsiteY122" fmla="*/ 3031672 h 3450772"/>
              <a:gd name="connsiteX123" fmla="*/ 70757 w 2487385"/>
              <a:gd name="connsiteY123" fmla="*/ 3058886 h 3450772"/>
              <a:gd name="connsiteX124" fmla="*/ 65314 w 2487385"/>
              <a:gd name="connsiteY124" fmla="*/ 3020786 h 3450772"/>
              <a:gd name="connsiteX125" fmla="*/ 0 w 2487385"/>
              <a:gd name="connsiteY125" fmla="*/ 2982686 h 3450772"/>
              <a:gd name="connsiteX126" fmla="*/ 54428 w 2487385"/>
              <a:gd name="connsiteY126" fmla="*/ 2933700 h 3450772"/>
              <a:gd name="connsiteX127" fmla="*/ 179614 w 2487385"/>
              <a:gd name="connsiteY127" fmla="*/ 2770414 h 3450772"/>
              <a:gd name="connsiteX128" fmla="*/ 326571 w 2487385"/>
              <a:gd name="connsiteY128" fmla="*/ 2122714 h 3450772"/>
              <a:gd name="connsiteX129" fmla="*/ 315685 w 2487385"/>
              <a:gd name="connsiteY129" fmla="*/ 2046514 h 3450772"/>
              <a:gd name="connsiteX130" fmla="*/ 359228 w 2487385"/>
              <a:gd name="connsiteY130" fmla="*/ 1964872 h 3450772"/>
              <a:gd name="connsiteX131" fmla="*/ 435428 w 2487385"/>
              <a:gd name="connsiteY131" fmla="*/ 1970314 h 3450772"/>
              <a:gd name="connsiteX132" fmla="*/ 440871 w 2487385"/>
              <a:gd name="connsiteY132" fmla="*/ 1937657 h 3450772"/>
              <a:gd name="connsiteX133" fmla="*/ 391885 w 2487385"/>
              <a:gd name="connsiteY133" fmla="*/ 1883229 h 3450772"/>
              <a:gd name="connsiteX134" fmla="*/ 386442 w 2487385"/>
              <a:gd name="connsiteY134" fmla="*/ 1872343 h 3450772"/>
              <a:gd name="connsiteX135" fmla="*/ 326571 w 2487385"/>
              <a:gd name="connsiteY135" fmla="*/ 1948543 h 3450772"/>
              <a:gd name="connsiteX136" fmla="*/ 408214 w 2487385"/>
              <a:gd name="connsiteY136" fmla="*/ 1338943 h 3450772"/>
              <a:gd name="connsiteX137" fmla="*/ 446314 w 2487385"/>
              <a:gd name="connsiteY137" fmla="*/ 1251857 h 3450772"/>
              <a:gd name="connsiteX138" fmla="*/ 462642 w 2487385"/>
              <a:gd name="connsiteY138" fmla="*/ 1300843 h 3450772"/>
              <a:gd name="connsiteX139" fmla="*/ 582385 w 2487385"/>
              <a:gd name="connsiteY139" fmla="*/ 1409700 h 3450772"/>
              <a:gd name="connsiteX140" fmla="*/ 620485 w 2487385"/>
              <a:gd name="connsiteY140" fmla="*/ 1513114 h 3450772"/>
              <a:gd name="connsiteX141" fmla="*/ 653142 w 2487385"/>
              <a:gd name="connsiteY141" fmla="*/ 1464129 h 3450772"/>
              <a:gd name="connsiteX142" fmla="*/ 625928 w 2487385"/>
              <a:gd name="connsiteY142" fmla="*/ 1344386 h 3450772"/>
              <a:gd name="connsiteX143" fmla="*/ 484414 w 2487385"/>
              <a:gd name="connsiteY143" fmla="*/ 1197429 h 3450772"/>
              <a:gd name="connsiteX144" fmla="*/ 435428 w 2487385"/>
              <a:gd name="connsiteY144" fmla="*/ 1164772 h 3450772"/>
              <a:gd name="connsiteX145" fmla="*/ 381000 w 2487385"/>
              <a:gd name="connsiteY145" fmla="*/ 1137557 h 3450772"/>
              <a:gd name="connsiteX146" fmla="*/ 370114 w 2487385"/>
              <a:gd name="connsiteY146" fmla="*/ 1083129 h 3450772"/>
              <a:gd name="connsiteX147" fmla="*/ 424542 w 2487385"/>
              <a:gd name="connsiteY147" fmla="*/ 1050472 h 3450772"/>
              <a:gd name="connsiteX148" fmla="*/ 468085 w 2487385"/>
              <a:gd name="connsiteY148" fmla="*/ 968829 h 3450772"/>
              <a:gd name="connsiteX149" fmla="*/ 446314 w 2487385"/>
              <a:gd name="connsiteY149" fmla="*/ 892629 h 3450772"/>
              <a:gd name="connsiteX150" fmla="*/ 446314 w 2487385"/>
              <a:gd name="connsiteY150" fmla="*/ 892629 h 3450772"/>
              <a:gd name="connsiteX151" fmla="*/ 478971 w 2487385"/>
              <a:gd name="connsiteY151" fmla="*/ 881743 h 3450772"/>
              <a:gd name="connsiteX152" fmla="*/ 424542 w 2487385"/>
              <a:gd name="connsiteY152" fmla="*/ 789214 h 3450772"/>
              <a:gd name="connsiteX153" fmla="*/ 386442 w 2487385"/>
              <a:gd name="connsiteY153" fmla="*/ 778329 h 3450772"/>
              <a:gd name="connsiteX154" fmla="*/ 429985 w 2487385"/>
              <a:gd name="connsiteY154" fmla="*/ 685800 h 3450772"/>
              <a:gd name="connsiteX155" fmla="*/ 451757 w 2487385"/>
              <a:gd name="connsiteY155" fmla="*/ 658586 h 3450772"/>
              <a:gd name="connsiteX156" fmla="*/ 560614 w 2487385"/>
              <a:gd name="connsiteY156" fmla="*/ 620486 h 3450772"/>
              <a:gd name="connsiteX157" fmla="*/ 560614 w 2487385"/>
              <a:gd name="connsiteY157" fmla="*/ 620486 h 3450772"/>
              <a:gd name="connsiteX158" fmla="*/ 636814 w 2487385"/>
              <a:gd name="connsiteY158" fmla="*/ 647700 h 3450772"/>
              <a:gd name="connsiteX159" fmla="*/ 658585 w 2487385"/>
              <a:gd name="connsiteY159" fmla="*/ 674914 h 3450772"/>
              <a:gd name="connsiteX160" fmla="*/ 772885 w 2487385"/>
              <a:gd name="connsiteY160" fmla="*/ 615043 h 3450772"/>
              <a:gd name="connsiteX161" fmla="*/ 745671 w 2487385"/>
              <a:gd name="connsiteY161" fmla="*/ 582386 h 3450772"/>
              <a:gd name="connsiteX162" fmla="*/ 740228 w 2487385"/>
              <a:gd name="connsiteY162" fmla="*/ 506186 h 3450772"/>
              <a:gd name="connsiteX163" fmla="*/ 702128 w 2487385"/>
              <a:gd name="connsiteY163" fmla="*/ 353786 h 3450772"/>
              <a:gd name="connsiteX164" fmla="*/ 685800 w 2487385"/>
              <a:gd name="connsiteY164" fmla="*/ 277586 h 3450772"/>
              <a:gd name="connsiteX165" fmla="*/ 674914 w 2487385"/>
              <a:gd name="connsiteY165" fmla="*/ 244929 h 3450772"/>
              <a:gd name="connsiteX166" fmla="*/ 615042 w 2487385"/>
              <a:gd name="connsiteY166" fmla="*/ 179614 h 3450772"/>
              <a:gd name="connsiteX167" fmla="*/ 604157 w 2487385"/>
              <a:gd name="connsiteY167" fmla="*/ 136072 h 3450772"/>
              <a:gd name="connsiteX168" fmla="*/ 598714 w 2487385"/>
              <a:gd name="connsiteY168" fmla="*/ 130629 h 3450772"/>
              <a:gd name="connsiteX169" fmla="*/ 734785 w 2487385"/>
              <a:gd name="connsiteY169" fmla="*/ 125186 h 3450772"/>
              <a:gd name="connsiteX170" fmla="*/ 745671 w 2487385"/>
              <a:gd name="connsiteY170" fmla="*/ 125186 h 3450772"/>
              <a:gd name="connsiteX171" fmla="*/ 810985 w 2487385"/>
              <a:gd name="connsiteY171" fmla="*/ 59872 h 3450772"/>
              <a:gd name="connsiteX172" fmla="*/ 985157 w 2487385"/>
              <a:gd name="connsiteY172" fmla="*/ 43543 h 3450772"/>
              <a:gd name="connsiteX173" fmla="*/ 1017814 w 2487385"/>
              <a:gd name="connsiteY173" fmla="*/ 81643 h 3450772"/>
              <a:gd name="connsiteX174" fmla="*/ 1126671 w 2487385"/>
              <a:gd name="connsiteY174" fmla="*/ 0 h 3450772"/>
              <a:gd name="connsiteX0" fmla="*/ 1126671 w 2487385"/>
              <a:gd name="connsiteY0" fmla="*/ 0 h 3450772"/>
              <a:gd name="connsiteX1" fmla="*/ 1181100 w 2487385"/>
              <a:gd name="connsiteY1" fmla="*/ 38100 h 3450772"/>
              <a:gd name="connsiteX2" fmla="*/ 1191985 w 2487385"/>
              <a:gd name="connsiteY2" fmla="*/ 87086 h 3450772"/>
              <a:gd name="connsiteX3" fmla="*/ 1230085 w 2487385"/>
              <a:gd name="connsiteY3" fmla="*/ 76200 h 3450772"/>
              <a:gd name="connsiteX4" fmla="*/ 1246414 w 2487385"/>
              <a:gd name="connsiteY4" fmla="*/ 141514 h 3450772"/>
              <a:gd name="connsiteX5" fmla="*/ 1246414 w 2487385"/>
              <a:gd name="connsiteY5" fmla="*/ 163286 h 3450772"/>
              <a:gd name="connsiteX6" fmla="*/ 1268185 w 2487385"/>
              <a:gd name="connsiteY6" fmla="*/ 179614 h 3450772"/>
              <a:gd name="connsiteX7" fmla="*/ 1398814 w 2487385"/>
              <a:gd name="connsiteY7" fmla="*/ 174172 h 3450772"/>
              <a:gd name="connsiteX8" fmla="*/ 1409700 w 2487385"/>
              <a:gd name="connsiteY8" fmla="*/ 174172 h 3450772"/>
              <a:gd name="connsiteX9" fmla="*/ 1398814 w 2487385"/>
              <a:gd name="connsiteY9" fmla="*/ 130629 h 3450772"/>
              <a:gd name="connsiteX10" fmla="*/ 1458685 w 2487385"/>
              <a:gd name="connsiteY10" fmla="*/ 174172 h 3450772"/>
              <a:gd name="connsiteX11" fmla="*/ 1464128 w 2487385"/>
              <a:gd name="connsiteY11" fmla="*/ 212272 h 3450772"/>
              <a:gd name="connsiteX12" fmla="*/ 1480457 w 2487385"/>
              <a:gd name="connsiteY12" fmla="*/ 250372 h 3450772"/>
              <a:gd name="connsiteX13" fmla="*/ 1583871 w 2487385"/>
              <a:gd name="connsiteY13" fmla="*/ 370114 h 3450772"/>
              <a:gd name="connsiteX14" fmla="*/ 1589314 w 2487385"/>
              <a:gd name="connsiteY14" fmla="*/ 386443 h 3450772"/>
              <a:gd name="connsiteX15" fmla="*/ 1567542 w 2487385"/>
              <a:gd name="connsiteY15" fmla="*/ 446314 h 3450772"/>
              <a:gd name="connsiteX16" fmla="*/ 1632857 w 2487385"/>
              <a:gd name="connsiteY16" fmla="*/ 511629 h 3450772"/>
              <a:gd name="connsiteX17" fmla="*/ 1676400 w 2487385"/>
              <a:gd name="connsiteY17" fmla="*/ 506186 h 3450772"/>
              <a:gd name="connsiteX18" fmla="*/ 1687285 w 2487385"/>
              <a:gd name="connsiteY18" fmla="*/ 576943 h 3450772"/>
              <a:gd name="connsiteX19" fmla="*/ 1730828 w 2487385"/>
              <a:gd name="connsiteY19" fmla="*/ 582386 h 3450772"/>
              <a:gd name="connsiteX20" fmla="*/ 1714500 w 2487385"/>
              <a:gd name="connsiteY20" fmla="*/ 636814 h 3450772"/>
              <a:gd name="connsiteX21" fmla="*/ 1747157 w 2487385"/>
              <a:gd name="connsiteY21" fmla="*/ 647700 h 3450772"/>
              <a:gd name="connsiteX22" fmla="*/ 1807028 w 2487385"/>
              <a:gd name="connsiteY22" fmla="*/ 625929 h 3450772"/>
              <a:gd name="connsiteX23" fmla="*/ 1839685 w 2487385"/>
              <a:gd name="connsiteY23" fmla="*/ 658586 h 3450772"/>
              <a:gd name="connsiteX24" fmla="*/ 1877785 w 2487385"/>
              <a:gd name="connsiteY24" fmla="*/ 620486 h 3450772"/>
              <a:gd name="connsiteX25" fmla="*/ 2024742 w 2487385"/>
              <a:gd name="connsiteY25" fmla="*/ 625929 h 3450772"/>
              <a:gd name="connsiteX26" fmla="*/ 2046514 w 2487385"/>
              <a:gd name="connsiteY26" fmla="*/ 593272 h 3450772"/>
              <a:gd name="connsiteX27" fmla="*/ 2193471 w 2487385"/>
              <a:gd name="connsiteY27" fmla="*/ 609600 h 3450772"/>
              <a:gd name="connsiteX28" fmla="*/ 2318657 w 2487385"/>
              <a:gd name="connsiteY28" fmla="*/ 609600 h 3450772"/>
              <a:gd name="connsiteX29" fmla="*/ 2324100 w 2487385"/>
              <a:gd name="connsiteY29" fmla="*/ 658586 h 3450772"/>
              <a:gd name="connsiteX30" fmla="*/ 2427514 w 2487385"/>
              <a:gd name="connsiteY30" fmla="*/ 718457 h 3450772"/>
              <a:gd name="connsiteX31" fmla="*/ 2460171 w 2487385"/>
              <a:gd name="connsiteY31" fmla="*/ 821872 h 3450772"/>
              <a:gd name="connsiteX32" fmla="*/ 2460171 w 2487385"/>
              <a:gd name="connsiteY32" fmla="*/ 865414 h 3450772"/>
              <a:gd name="connsiteX33" fmla="*/ 2460171 w 2487385"/>
              <a:gd name="connsiteY33" fmla="*/ 887186 h 3450772"/>
              <a:gd name="connsiteX34" fmla="*/ 2487385 w 2487385"/>
              <a:gd name="connsiteY34" fmla="*/ 952500 h 3450772"/>
              <a:gd name="connsiteX35" fmla="*/ 2367642 w 2487385"/>
              <a:gd name="connsiteY35" fmla="*/ 1072243 h 3450772"/>
              <a:gd name="connsiteX36" fmla="*/ 2427514 w 2487385"/>
              <a:gd name="connsiteY36" fmla="*/ 1143000 h 3450772"/>
              <a:gd name="connsiteX37" fmla="*/ 2443842 w 2487385"/>
              <a:gd name="connsiteY37" fmla="*/ 1208314 h 3450772"/>
              <a:gd name="connsiteX38" fmla="*/ 2427514 w 2487385"/>
              <a:gd name="connsiteY38" fmla="*/ 1257300 h 3450772"/>
              <a:gd name="connsiteX39" fmla="*/ 2462027 w 2487385"/>
              <a:gd name="connsiteY39" fmla="*/ 1420586 h 3450772"/>
              <a:gd name="connsiteX40" fmla="*/ 2383971 w 2487385"/>
              <a:gd name="connsiteY40" fmla="*/ 1404257 h 3450772"/>
              <a:gd name="connsiteX41" fmla="*/ 2373085 w 2487385"/>
              <a:gd name="connsiteY41" fmla="*/ 1415143 h 3450772"/>
              <a:gd name="connsiteX42" fmla="*/ 2362200 w 2487385"/>
              <a:gd name="connsiteY42" fmla="*/ 1447800 h 3450772"/>
              <a:gd name="connsiteX43" fmla="*/ 2258785 w 2487385"/>
              <a:gd name="connsiteY43" fmla="*/ 1562100 h 3450772"/>
              <a:gd name="connsiteX44" fmla="*/ 2275114 w 2487385"/>
              <a:gd name="connsiteY44" fmla="*/ 1594757 h 3450772"/>
              <a:gd name="connsiteX45" fmla="*/ 2247900 w 2487385"/>
              <a:gd name="connsiteY45" fmla="*/ 1627414 h 3450772"/>
              <a:gd name="connsiteX46" fmla="*/ 2247900 w 2487385"/>
              <a:gd name="connsiteY46" fmla="*/ 1676400 h 3450772"/>
              <a:gd name="connsiteX47" fmla="*/ 2215242 w 2487385"/>
              <a:gd name="connsiteY47" fmla="*/ 1692729 h 3450772"/>
              <a:gd name="connsiteX48" fmla="*/ 2209800 w 2487385"/>
              <a:gd name="connsiteY48" fmla="*/ 1741714 h 3450772"/>
              <a:gd name="connsiteX49" fmla="*/ 2198914 w 2487385"/>
              <a:gd name="connsiteY49" fmla="*/ 1763486 h 3450772"/>
              <a:gd name="connsiteX50" fmla="*/ 2106385 w 2487385"/>
              <a:gd name="connsiteY50" fmla="*/ 1763486 h 3450772"/>
              <a:gd name="connsiteX51" fmla="*/ 2046514 w 2487385"/>
              <a:gd name="connsiteY51" fmla="*/ 1779814 h 3450772"/>
              <a:gd name="connsiteX52" fmla="*/ 1943100 w 2487385"/>
              <a:gd name="connsiteY52" fmla="*/ 1714500 h 3450772"/>
              <a:gd name="connsiteX53" fmla="*/ 1845128 w 2487385"/>
              <a:gd name="connsiteY53" fmla="*/ 1714500 h 3450772"/>
              <a:gd name="connsiteX54" fmla="*/ 1823357 w 2487385"/>
              <a:gd name="connsiteY54" fmla="*/ 1845129 h 3450772"/>
              <a:gd name="connsiteX55" fmla="*/ 1768928 w 2487385"/>
              <a:gd name="connsiteY55" fmla="*/ 1888672 h 3450772"/>
              <a:gd name="connsiteX56" fmla="*/ 1763485 w 2487385"/>
              <a:gd name="connsiteY56" fmla="*/ 1937657 h 3450772"/>
              <a:gd name="connsiteX57" fmla="*/ 1714500 w 2487385"/>
              <a:gd name="connsiteY57" fmla="*/ 1959429 h 3450772"/>
              <a:gd name="connsiteX58" fmla="*/ 1621971 w 2487385"/>
              <a:gd name="connsiteY58" fmla="*/ 2073729 h 3450772"/>
              <a:gd name="connsiteX59" fmla="*/ 1589314 w 2487385"/>
              <a:gd name="connsiteY59" fmla="*/ 2100943 h 3450772"/>
              <a:gd name="connsiteX60" fmla="*/ 1616528 w 2487385"/>
              <a:gd name="connsiteY60" fmla="*/ 2220686 h 3450772"/>
              <a:gd name="connsiteX61" fmla="*/ 1529442 w 2487385"/>
              <a:gd name="connsiteY61" fmla="*/ 2253343 h 3450772"/>
              <a:gd name="connsiteX62" fmla="*/ 1534885 w 2487385"/>
              <a:gd name="connsiteY62" fmla="*/ 2280557 h 3450772"/>
              <a:gd name="connsiteX63" fmla="*/ 1524000 w 2487385"/>
              <a:gd name="connsiteY63" fmla="*/ 2291443 h 3450772"/>
              <a:gd name="connsiteX64" fmla="*/ 1556657 w 2487385"/>
              <a:gd name="connsiteY64" fmla="*/ 2307772 h 3450772"/>
              <a:gd name="connsiteX65" fmla="*/ 1507671 w 2487385"/>
              <a:gd name="connsiteY65" fmla="*/ 2383972 h 3450772"/>
              <a:gd name="connsiteX66" fmla="*/ 1524000 w 2487385"/>
              <a:gd name="connsiteY66" fmla="*/ 2416629 h 3450772"/>
              <a:gd name="connsiteX67" fmla="*/ 1485900 w 2487385"/>
              <a:gd name="connsiteY67" fmla="*/ 2411186 h 3450772"/>
              <a:gd name="connsiteX68" fmla="*/ 1442357 w 2487385"/>
              <a:gd name="connsiteY68" fmla="*/ 2481943 h 3450772"/>
              <a:gd name="connsiteX69" fmla="*/ 1382485 w 2487385"/>
              <a:gd name="connsiteY69" fmla="*/ 2492829 h 3450772"/>
              <a:gd name="connsiteX70" fmla="*/ 1295400 w 2487385"/>
              <a:gd name="connsiteY70" fmla="*/ 2471057 h 3450772"/>
              <a:gd name="connsiteX71" fmla="*/ 1246414 w 2487385"/>
              <a:gd name="connsiteY71" fmla="*/ 2503714 h 3450772"/>
              <a:gd name="connsiteX72" fmla="*/ 1208314 w 2487385"/>
              <a:gd name="connsiteY72" fmla="*/ 2509157 h 3450772"/>
              <a:gd name="connsiteX73" fmla="*/ 1132114 w 2487385"/>
              <a:gd name="connsiteY73" fmla="*/ 2509157 h 3450772"/>
              <a:gd name="connsiteX74" fmla="*/ 1121228 w 2487385"/>
              <a:gd name="connsiteY74" fmla="*/ 2503714 h 3450772"/>
              <a:gd name="connsiteX75" fmla="*/ 1104900 w 2487385"/>
              <a:gd name="connsiteY75" fmla="*/ 2541814 h 3450772"/>
              <a:gd name="connsiteX76" fmla="*/ 1066800 w 2487385"/>
              <a:gd name="connsiteY76" fmla="*/ 2530929 h 3450772"/>
              <a:gd name="connsiteX77" fmla="*/ 1034142 w 2487385"/>
              <a:gd name="connsiteY77" fmla="*/ 2585357 h 3450772"/>
              <a:gd name="connsiteX78" fmla="*/ 1012371 w 2487385"/>
              <a:gd name="connsiteY78" fmla="*/ 2547257 h 3450772"/>
              <a:gd name="connsiteX79" fmla="*/ 892628 w 2487385"/>
              <a:gd name="connsiteY79" fmla="*/ 2585357 h 3450772"/>
              <a:gd name="connsiteX80" fmla="*/ 887185 w 2487385"/>
              <a:gd name="connsiteY80" fmla="*/ 2590800 h 3450772"/>
              <a:gd name="connsiteX81" fmla="*/ 898071 w 2487385"/>
              <a:gd name="connsiteY81" fmla="*/ 2661557 h 3450772"/>
              <a:gd name="connsiteX82" fmla="*/ 838200 w 2487385"/>
              <a:gd name="connsiteY82" fmla="*/ 2786743 h 3450772"/>
              <a:gd name="connsiteX83" fmla="*/ 854528 w 2487385"/>
              <a:gd name="connsiteY83" fmla="*/ 2830286 h 3450772"/>
              <a:gd name="connsiteX84" fmla="*/ 936171 w 2487385"/>
              <a:gd name="connsiteY84" fmla="*/ 2824843 h 3450772"/>
              <a:gd name="connsiteX85" fmla="*/ 979714 w 2487385"/>
              <a:gd name="connsiteY85" fmla="*/ 2906486 h 3450772"/>
              <a:gd name="connsiteX86" fmla="*/ 985157 w 2487385"/>
              <a:gd name="connsiteY86" fmla="*/ 2911929 h 3450772"/>
              <a:gd name="connsiteX87" fmla="*/ 985157 w 2487385"/>
              <a:gd name="connsiteY87" fmla="*/ 2911929 h 3450772"/>
              <a:gd name="connsiteX88" fmla="*/ 1001485 w 2487385"/>
              <a:gd name="connsiteY88" fmla="*/ 2960914 h 3450772"/>
              <a:gd name="connsiteX89" fmla="*/ 1006928 w 2487385"/>
              <a:gd name="connsiteY89" fmla="*/ 3048000 h 3450772"/>
              <a:gd name="connsiteX90" fmla="*/ 979714 w 2487385"/>
              <a:gd name="connsiteY90" fmla="*/ 3053443 h 3450772"/>
              <a:gd name="connsiteX91" fmla="*/ 974271 w 2487385"/>
              <a:gd name="connsiteY91" fmla="*/ 3053443 h 3450772"/>
              <a:gd name="connsiteX92" fmla="*/ 985157 w 2487385"/>
              <a:gd name="connsiteY92" fmla="*/ 3086100 h 3450772"/>
              <a:gd name="connsiteX93" fmla="*/ 881742 w 2487385"/>
              <a:gd name="connsiteY93" fmla="*/ 3216729 h 3450772"/>
              <a:gd name="connsiteX94" fmla="*/ 892628 w 2487385"/>
              <a:gd name="connsiteY94" fmla="*/ 3260272 h 3450772"/>
              <a:gd name="connsiteX95" fmla="*/ 849085 w 2487385"/>
              <a:gd name="connsiteY95" fmla="*/ 3276600 h 3450772"/>
              <a:gd name="connsiteX96" fmla="*/ 827314 w 2487385"/>
              <a:gd name="connsiteY96" fmla="*/ 3320143 h 3450772"/>
              <a:gd name="connsiteX97" fmla="*/ 810985 w 2487385"/>
              <a:gd name="connsiteY97" fmla="*/ 3369129 h 3450772"/>
              <a:gd name="connsiteX98" fmla="*/ 805542 w 2487385"/>
              <a:gd name="connsiteY98" fmla="*/ 3407229 h 3450772"/>
              <a:gd name="connsiteX99" fmla="*/ 805542 w 2487385"/>
              <a:gd name="connsiteY99" fmla="*/ 3423557 h 3450772"/>
              <a:gd name="connsiteX100" fmla="*/ 800100 w 2487385"/>
              <a:gd name="connsiteY100" fmla="*/ 3418114 h 3450772"/>
              <a:gd name="connsiteX101" fmla="*/ 778328 w 2487385"/>
              <a:gd name="connsiteY101" fmla="*/ 3418114 h 3450772"/>
              <a:gd name="connsiteX102" fmla="*/ 740228 w 2487385"/>
              <a:gd name="connsiteY102" fmla="*/ 3445329 h 3450772"/>
              <a:gd name="connsiteX103" fmla="*/ 702128 w 2487385"/>
              <a:gd name="connsiteY103" fmla="*/ 3434443 h 3450772"/>
              <a:gd name="connsiteX104" fmla="*/ 702128 w 2487385"/>
              <a:gd name="connsiteY104" fmla="*/ 3434443 h 3450772"/>
              <a:gd name="connsiteX105" fmla="*/ 664028 w 2487385"/>
              <a:gd name="connsiteY105" fmla="*/ 3450772 h 3450772"/>
              <a:gd name="connsiteX106" fmla="*/ 571500 w 2487385"/>
              <a:gd name="connsiteY106" fmla="*/ 3380014 h 3450772"/>
              <a:gd name="connsiteX107" fmla="*/ 533400 w 2487385"/>
              <a:gd name="connsiteY107" fmla="*/ 3309257 h 3450772"/>
              <a:gd name="connsiteX108" fmla="*/ 462642 w 2487385"/>
              <a:gd name="connsiteY108" fmla="*/ 3303814 h 3450772"/>
              <a:gd name="connsiteX109" fmla="*/ 277585 w 2487385"/>
              <a:gd name="connsiteY109" fmla="*/ 3243943 h 3450772"/>
              <a:gd name="connsiteX110" fmla="*/ 266700 w 2487385"/>
              <a:gd name="connsiteY110" fmla="*/ 3194957 h 3450772"/>
              <a:gd name="connsiteX111" fmla="*/ 228600 w 2487385"/>
              <a:gd name="connsiteY111" fmla="*/ 3194957 h 3450772"/>
              <a:gd name="connsiteX112" fmla="*/ 223157 w 2487385"/>
              <a:gd name="connsiteY112" fmla="*/ 3216729 h 3450772"/>
              <a:gd name="connsiteX113" fmla="*/ 223157 w 2487385"/>
              <a:gd name="connsiteY113" fmla="*/ 3243943 h 3450772"/>
              <a:gd name="connsiteX114" fmla="*/ 190500 w 2487385"/>
              <a:gd name="connsiteY114" fmla="*/ 3233057 h 3450772"/>
              <a:gd name="connsiteX115" fmla="*/ 163285 w 2487385"/>
              <a:gd name="connsiteY115" fmla="*/ 3211286 h 3450772"/>
              <a:gd name="connsiteX116" fmla="*/ 152400 w 2487385"/>
              <a:gd name="connsiteY116" fmla="*/ 3194957 h 3450772"/>
              <a:gd name="connsiteX117" fmla="*/ 174171 w 2487385"/>
              <a:gd name="connsiteY117" fmla="*/ 3151414 h 3450772"/>
              <a:gd name="connsiteX118" fmla="*/ 201385 w 2487385"/>
              <a:gd name="connsiteY118" fmla="*/ 3102429 h 3450772"/>
              <a:gd name="connsiteX119" fmla="*/ 185057 w 2487385"/>
              <a:gd name="connsiteY119" fmla="*/ 3064329 h 3450772"/>
              <a:gd name="connsiteX120" fmla="*/ 185057 w 2487385"/>
              <a:gd name="connsiteY120" fmla="*/ 3042557 h 3450772"/>
              <a:gd name="connsiteX121" fmla="*/ 125185 w 2487385"/>
              <a:gd name="connsiteY121" fmla="*/ 3042557 h 3450772"/>
              <a:gd name="connsiteX122" fmla="*/ 103414 w 2487385"/>
              <a:gd name="connsiteY122" fmla="*/ 3031672 h 3450772"/>
              <a:gd name="connsiteX123" fmla="*/ 70757 w 2487385"/>
              <a:gd name="connsiteY123" fmla="*/ 3058886 h 3450772"/>
              <a:gd name="connsiteX124" fmla="*/ 65314 w 2487385"/>
              <a:gd name="connsiteY124" fmla="*/ 3020786 h 3450772"/>
              <a:gd name="connsiteX125" fmla="*/ 0 w 2487385"/>
              <a:gd name="connsiteY125" fmla="*/ 2982686 h 3450772"/>
              <a:gd name="connsiteX126" fmla="*/ 54428 w 2487385"/>
              <a:gd name="connsiteY126" fmla="*/ 2933700 h 3450772"/>
              <a:gd name="connsiteX127" fmla="*/ 179614 w 2487385"/>
              <a:gd name="connsiteY127" fmla="*/ 2770414 h 3450772"/>
              <a:gd name="connsiteX128" fmla="*/ 326571 w 2487385"/>
              <a:gd name="connsiteY128" fmla="*/ 2122714 h 3450772"/>
              <a:gd name="connsiteX129" fmla="*/ 315685 w 2487385"/>
              <a:gd name="connsiteY129" fmla="*/ 2046514 h 3450772"/>
              <a:gd name="connsiteX130" fmla="*/ 359228 w 2487385"/>
              <a:gd name="connsiteY130" fmla="*/ 1964872 h 3450772"/>
              <a:gd name="connsiteX131" fmla="*/ 435428 w 2487385"/>
              <a:gd name="connsiteY131" fmla="*/ 1970314 h 3450772"/>
              <a:gd name="connsiteX132" fmla="*/ 440871 w 2487385"/>
              <a:gd name="connsiteY132" fmla="*/ 1937657 h 3450772"/>
              <a:gd name="connsiteX133" fmla="*/ 391885 w 2487385"/>
              <a:gd name="connsiteY133" fmla="*/ 1883229 h 3450772"/>
              <a:gd name="connsiteX134" fmla="*/ 386442 w 2487385"/>
              <a:gd name="connsiteY134" fmla="*/ 1872343 h 3450772"/>
              <a:gd name="connsiteX135" fmla="*/ 326571 w 2487385"/>
              <a:gd name="connsiteY135" fmla="*/ 1948543 h 3450772"/>
              <a:gd name="connsiteX136" fmla="*/ 408214 w 2487385"/>
              <a:gd name="connsiteY136" fmla="*/ 1338943 h 3450772"/>
              <a:gd name="connsiteX137" fmla="*/ 446314 w 2487385"/>
              <a:gd name="connsiteY137" fmla="*/ 1251857 h 3450772"/>
              <a:gd name="connsiteX138" fmla="*/ 462642 w 2487385"/>
              <a:gd name="connsiteY138" fmla="*/ 1300843 h 3450772"/>
              <a:gd name="connsiteX139" fmla="*/ 582385 w 2487385"/>
              <a:gd name="connsiteY139" fmla="*/ 1409700 h 3450772"/>
              <a:gd name="connsiteX140" fmla="*/ 620485 w 2487385"/>
              <a:gd name="connsiteY140" fmla="*/ 1513114 h 3450772"/>
              <a:gd name="connsiteX141" fmla="*/ 653142 w 2487385"/>
              <a:gd name="connsiteY141" fmla="*/ 1464129 h 3450772"/>
              <a:gd name="connsiteX142" fmla="*/ 625928 w 2487385"/>
              <a:gd name="connsiteY142" fmla="*/ 1344386 h 3450772"/>
              <a:gd name="connsiteX143" fmla="*/ 484414 w 2487385"/>
              <a:gd name="connsiteY143" fmla="*/ 1197429 h 3450772"/>
              <a:gd name="connsiteX144" fmla="*/ 435428 w 2487385"/>
              <a:gd name="connsiteY144" fmla="*/ 1164772 h 3450772"/>
              <a:gd name="connsiteX145" fmla="*/ 381000 w 2487385"/>
              <a:gd name="connsiteY145" fmla="*/ 1137557 h 3450772"/>
              <a:gd name="connsiteX146" fmla="*/ 370114 w 2487385"/>
              <a:gd name="connsiteY146" fmla="*/ 1083129 h 3450772"/>
              <a:gd name="connsiteX147" fmla="*/ 424542 w 2487385"/>
              <a:gd name="connsiteY147" fmla="*/ 1050472 h 3450772"/>
              <a:gd name="connsiteX148" fmla="*/ 468085 w 2487385"/>
              <a:gd name="connsiteY148" fmla="*/ 968829 h 3450772"/>
              <a:gd name="connsiteX149" fmla="*/ 446314 w 2487385"/>
              <a:gd name="connsiteY149" fmla="*/ 892629 h 3450772"/>
              <a:gd name="connsiteX150" fmla="*/ 446314 w 2487385"/>
              <a:gd name="connsiteY150" fmla="*/ 892629 h 3450772"/>
              <a:gd name="connsiteX151" fmla="*/ 478971 w 2487385"/>
              <a:gd name="connsiteY151" fmla="*/ 881743 h 3450772"/>
              <a:gd name="connsiteX152" fmla="*/ 424542 w 2487385"/>
              <a:gd name="connsiteY152" fmla="*/ 789214 h 3450772"/>
              <a:gd name="connsiteX153" fmla="*/ 386442 w 2487385"/>
              <a:gd name="connsiteY153" fmla="*/ 778329 h 3450772"/>
              <a:gd name="connsiteX154" fmla="*/ 429985 w 2487385"/>
              <a:gd name="connsiteY154" fmla="*/ 685800 h 3450772"/>
              <a:gd name="connsiteX155" fmla="*/ 451757 w 2487385"/>
              <a:gd name="connsiteY155" fmla="*/ 658586 h 3450772"/>
              <a:gd name="connsiteX156" fmla="*/ 560614 w 2487385"/>
              <a:gd name="connsiteY156" fmla="*/ 620486 h 3450772"/>
              <a:gd name="connsiteX157" fmla="*/ 560614 w 2487385"/>
              <a:gd name="connsiteY157" fmla="*/ 620486 h 3450772"/>
              <a:gd name="connsiteX158" fmla="*/ 636814 w 2487385"/>
              <a:gd name="connsiteY158" fmla="*/ 647700 h 3450772"/>
              <a:gd name="connsiteX159" fmla="*/ 658585 w 2487385"/>
              <a:gd name="connsiteY159" fmla="*/ 674914 h 3450772"/>
              <a:gd name="connsiteX160" fmla="*/ 772885 w 2487385"/>
              <a:gd name="connsiteY160" fmla="*/ 615043 h 3450772"/>
              <a:gd name="connsiteX161" fmla="*/ 745671 w 2487385"/>
              <a:gd name="connsiteY161" fmla="*/ 582386 h 3450772"/>
              <a:gd name="connsiteX162" fmla="*/ 740228 w 2487385"/>
              <a:gd name="connsiteY162" fmla="*/ 506186 h 3450772"/>
              <a:gd name="connsiteX163" fmla="*/ 702128 w 2487385"/>
              <a:gd name="connsiteY163" fmla="*/ 353786 h 3450772"/>
              <a:gd name="connsiteX164" fmla="*/ 685800 w 2487385"/>
              <a:gd name="connsiteY164" fmla="*/ 277586 h 3450772"/>
              <a:gd name="connsiteX165" fmla="*/ 674914 w 2487385"/>
              <a:gd name="connsiteY165" fmla="*/ 244929 h 3450772"/>
              <a:gd name="connsiteX166" fmla="*/ 615042 w 2487385"/>
              <a:gd name="connsiteY166" fmla="*/ 179614 h 3450772"/>
              <a:gd name="connsiteX167" fmla="*/ 604157 w 2487385"/>
              <a:gd name="connsiteY167" fmla="*/ 136072 h 3450772"/>
              <a:gd name="connsiteX168" fmla="*/ 598714 w 2487385"/>
              <a:gd name="connsiteY168" fmla="*/ 130629 h 3450772"/>
              <a:gd name="connsiteX169" fmla="*/ 734785 w 2487385"/>
              <a:gd name="connsiteY169" fmla="*/ 125186 h 3450772"/>
              <a:gd name="connsiteX170" fmla="*/ 745671 w 2487385"/>
              <a:gd name="connsiteY170" fmla="*/ 125186 h 3450772"/>
              <a:gd name="connsiteX171" fmla="*/ 810985 w 2487385"/>
              <a:gd name="connsiteY171" fmla="*/ 59872 h 3450772"/>
              <a:gd name="connsiteX172" fmla="*/ 985157 w 2487385"/>
              <a:gd name="connsiteY172" fmla="*/ 43543 h 3450772"/>
              <a:gd name="connsiteX173" fmla="*/ 1017814 w 2487385"/>
              <a:gd name="connsiteY173" fmla="*/ 81643 h 3450772"/>
              <a:gd name="connsiteX174" fmla="*/ 1126671 w 2487385"/>
              <a:gd name="connsiteY174" fmla="*/ 0 h 3450772"/>
              <a:gd name="connsiteX0" fmla="*/ 1126671 w 2487385"/>
              <a:gd name="connsiteY0" fmla="*/ 0 h 3450772"/>
              <a:gd name="connsiteX1" fmla="*/ 1181100 w 2487385"/>
              <a:gd name="connsiteY1" fmla="*/ 38100 h 3450772"/>
              <a:gd name="connsiteX2" fmla="*/ 1191985 w 2487385"/>
              <a:gd name="connsiteY2" fmla="*/ 87086 h 3450772"/>
              <a:gd name="connsiteX3" fmla="*/ 1230085 w 2487385"/>
              <a:gd name="connsiteY3" fmla="*/ 76200 h 3450772"/>
              <a:gd name="connsiteX4" fmla="*/ 1246414 w 2487385"/>
              <a:gd name="connsiteY4" fmla="*/ 141514 h 3450772"/>
              <a:gd name="connsiteX5" fmla="*/ 1246414 w 2487385"/>
              <a:gd name="connsiteY5" fmla="*/ 163286 h 3450772"/>
              <a:gd name="connsiteX6" fmla="*/ 1268185 w 2487385"/>
              <a:gd name="connsiteY6" fmla="*/ 179614 h 3450772"/>
              <a:gd name="connsiteX7" fmla="*/ 1398814 w 2487385"/>
              <a:gd name="connsiteY7" fmla="*/ 174172 h 3450772"/>
              <a:gd name="connsiteX8" fmla="*/ 1409700 w 2487385"/>
              <a:gd name="connsiteY8" fmla="*/ 174172 h 3450772"/>
              <a:gd name="connsiteX9" fmla="*/ 1398814 w 2487385"/>
              <a:gd name="connsiteY9" fmla="*/ 130629 h 3450772"/>
              <a:gd name="connsiteX10" fmla="*/ 1458685 w 2487385"/>
              <a:gd name="connsiteY10" fmla="*/ 174172 h 3450772"/>
              <a:gd name="connsiteX11" fmla="*/ 1464128 w 2487385"/>
              <a:gd name="connsiteY11" fmla="*/ 212272 h 3450772"/>
              <a:gd name="connsiteX12" fmla="*/ 1480457 w 2487385"/>
              <a:gd name="connsiteY12" fmla="*/ 250372 h 3450772"/>
              <a:gd name="connsiteX13" fmla="*/ 1583871 w 2487385"/>
              <a:gd name="connsiteY13" fmla="*/ 370114 h 3450772"/>
              <a:gd name="connsiteX14" fmla="*/ 1589314 w 2487385"/>
              <a:gd name="connsiteY14" fmla="*/ 386443 h 3450772"/>
              <a:gd name="connsiteX15" fmla="*/ 1567542 w 2487385"/>
              <a:gd name="connsiteY15" fmla="*/ 446314 h 3450772"/>
              <a:gd name="connsiteX16" fmla="*/ 1632857 w 2487385"/>
              <a:gd name="connsiteY16" fmla="*/ 511629 h 3450772"/>
              <a:gd name="connsiteX17" fmla="*/ 1676400 w 2487385"/>
              <a:gd name="connsiteY17" fmla="*/ 506186 h 3450772"/>
              <a:gd name="connsiteX18" fmla="*/ 1687285 w 2487385"/>
              <a:gd name="connsiteY18" fmla="*/ 576943 h 3450772"/>
              <a:gd name="connsiteX19" fmla="*/ 1730828 w 2487385"/>
              <a:gd name="connsiteY19" fmla="*/ 582386 h 3450772"/>
              <a:gd name="connsiteX20" fmla="*/ 1714500 w 2487385"/>
              <a:gd name="connsiteY20" fmla="*/ 636814 h 3450772"/>
              <a:gd name="connsiteX21" fmla="*/ 1747157 w 2487385"/>
              <a:gd name="connsiteY21" fmla="*/ 647700 h 3450772"/>
              <a:gd name="connsiteX22" fmla="*/ 1807028 w 2487385"/>
              <a:gd name="connsiteY22" fmla="*/ 625929 h 3450772"/>
              <a:gd name="connsiteX23" fmla="*/ 1839685 w 2487385"/>
              <a:gd name="connsiteY23" fmla="*/ 658586 h 3450772"/>
              <a:gd name="connsiteX24" fmla="*/ 1877785 w 2487385"/>
              <a:gd name="connsiteY24" fmla="*/ 620486 h 3450772"/>
              <a:gd name="connsiteX25" fmla="*/ 2024742 w 2487385"/>
              <a:gd name="connsiteY25" fmla="*/ 625929 h 3450772"/>
              <a:gd name="connsiteX26" fmla="*/ 2046514 w 2487385"/>
              <a:gd name="connsiteY26" fmla="*/ 593272 h 3450772"/>
              <a:gd name="connsiteX27" fmla="*/ 2193471 w 2487385"/>
              <a:gd name="connsiteY27" fmla="*/ 609600 h 3450772"/>
              <a:gd name="connsiteX28" fmla="*/ 2318657 w 2487385"/>
              <a:gd name="connsiteY28" fmla="*/ 609600 h 3450772"/>
              <a:gd name="connsiteX29" fmla="*/ 2324100 w 2487385"/>
              <a:gd name="connsiteY29" fmla="*/ 658586 h 3450772"/>
              <a:gd name="connsiteX30" fmla="*/ 2427514 w 2487385"/>
              <a:gd name="connsiteY30" fmla="*/ 718457 h 3450772"/>
              <a:gd name="connsiteX31" fmla="*/ 2460171 w 2487385"/>
              <a:gd name="connsiteY31" fmla="*/ 821872 h 3450772"/>
              <a:gd name="connsiteX32" fmla="*/ 2460171 w 2487385"/>
              <a:gd name="connsiteY32" fmla="*/ 865414 h 3450772"/>
              <a:gd name="connsiteX33" fmla="*/ 2460171 w 2487385"/>
              <a:gd name="connsiteY33" fmla="*/ 887186 h 3450772"/>
              <a:gd name="connsiteX34" fmla="*/ 2487385 w 2487385"/>
              <a:gd name="connsiteY34" fmla="*/ 952500 h 3450772"/>
              <a:gd name="connsiteX35" fmla="*/ 2367642 w 2487385"/>
              <a:gd name="connsiteY35" fmla="*/ 1072243 h 3450772"/>
              <a:gd name="connsiteX36" fmla="*/ 2440256 w 2487385"/>
              <a:gd name="connsiteY36" fmla="*/ 1143000 h 3450772"/>
              <a:gd name="connsiteX37" fmla="*/ 2443842 w 2487385"/>
              <a:gd name="connsiteY37" fmla="*/ 1208314 h 3450772"/>
              <a:gd name="connsiteX38" fmla="*/ 2427514 w 2487385"/>
              <a:gd name="connsiteY38" fmla="*/ 1257300 h 3450772"/>
              <a:gd name="connsiteX39" fmla="*/ 2462027 w 2487385"/>
              <a:gd name="connsiteY39" fmla="*/ 1420586 h 3450772"/>
              <a:gd name="connsiteX40" fmla="*/ 2383971 w 2487385"/>
              <a:gd name="connsiteY40" fmla="*/ 1404257 h 3450772"/>
              <a:gd name="connsiteX41" fmla="*/ 2373085 w 2487385"/>
              <a:gd name="connsiteY41" fmla="*/ 1415143 h 3450772"/>
              <a:gd name="connsiteX42" fmla="*/ 2362200 w 2487385"/>
              <a:gd name="connsiteY42" fmla="*/ 1447800 h 3450772"/>
              <a:gd name="connsiteX43" fmla="*/ 2258785 w 2487385"/>
              <a:gd name="connsiteY43" fmla="*/ 1562100 h 3450772"/>
              <a:gd name="connsiteX44" fmla="*/ 2275114 w 2487385"/>
              <a:gd name="connsiteY44" fmla="*/ 1594757 h 3450772"/>
              <a:gd name="connsiteX45" fmla="*/ 2247900 w 2487385"/>
              <a:gd name="connsiteY45" fmla="*/ 1627414 h 3450772"/>
              <a:gd name="connsiteX46" fmla="*/ 2247900 w 2487385"/>
              <a:gd name="connsiteY46" fmla="*/ 1676400 h 3450772"/>
              <a:gd name="connsiteX47" fmla="*/ 2215242 w 2487385"/>
              <a:gd name="connsiteY47" fmla="*/ 1692729 h 3450772"/>
              <a:gd name="connsiteX48" fmla="*/ 2209800 w 2487385"/>
              <a:gd name="connsiteY48" fmla="*/ 1741714 h 3450772"/>
              <a:gd name="connsiteX49" fmla="*/ 2198914 w 2487385"/>
              <a:gd name="connsiteY49" fmla="*/ 1763486 h 3450772"/>
              <a:gd name="connsiteX50" fmla="*/ 2106385 w 2487385"/>
              <a:gd name="connsiteY50" fmla="*/ 1763486 h 3450772"/>
              <a:gd name="connsiteX51" fmla="*/ 2046514 w 2487385"/>
              <a:gd name="connsiteY51" fmla="*/ 1779814 h 3450772"/>
              <a:gd name="connsiteX52" fmla="*/ 1943100 w 2487385"/>
              <a:gd name="connsiteY52" fmla="*/ 1714500 h 3450772"/>
              <a:gd name="connsiteX53" fmla="*/ 1845128 w 2487385"/>
              <a:gd name="connsiteY53" fmla="*/ 1714500 h 3450772"/>
              <a:gd name="connsiteX54" fmla="*/ 1823357 w 2487385"/>
              <a:gd name="connsiteY54" fmla="*/ 1845129 h 3450772"/>
              <a:gd name="connsiteX55" fmla="*/ 1768928 w 2487385"/>
              <a:gd name="connsiteY55" fmla="*/ 1888672 h 3450772"/>
              <a:gd name="connsiteX56" fmla="*/ 1763485 w 2487385"/>
              <a:gd name="connsiteY56" fmla="*/ 1937657 h 3450772"/>
              <a:gd name="connsiteX57" fmla="*/ 1714500 w 2487385"/>
              <a:gd name="connsiteY57" fmla="*/ 1959429 h 3450772"/>
              <a:gd name="connsiteX58" fmla="*/ 1621971 w 2487385"/>
              <a:gd name="connsiteY58" fmla="*/ 2073729 h 3450772"/>
              <a:gd name="connsiteX59" fmla="*/ 1589314 w 2487385"/>
              <a:gd name="connsiteY59" fmla="*/ 2100943 h 3450772"/>
              <a:gd name="connsiteX60" fmla="*/ 1616528 w 2487385"/>
              <a:gd name="connsiteY60" fmla="*/ 2220686 h 3450772"/>
              <a:gd name="connsiteX61" fmla="*/ 1529442 w 2487385"/>
              <a:gd name="connsiteY61" fmla="*/ 2253343 h 3450772"/>
              <a:gd name="connsiteX62" fmla="*/ 1534885 w 2487385"/>
              <a:gd name="connsiteY62" fmla="*/ 2280557 h 3450772"/>
              <a:gd name="connsiteX63" fmla="*/ 1524000 w 2487385"/>
              <a:gd name="connsiteY63" fmla="*/ 2291443 h 3450772"/>
              <a:gd name="connsiteX64" fmla="*/ 1556657 w 2487385"/>
              <a:gd name="connsiteY64" fmla="*/ 2307772 h 3450772"/>
              <a:gd name="connsiteX65" fmla="*/ 1507671 w 2487385"/>
              <a:gd name="connsiteY65" fmla="*/ 2383972 h 3450772"/>
              <a:gd name="connsiteX66" fmla="*/ 1524000 w 2487385"/>
              <a:gd name="connsiteY66" fmla="*/ 2416629 h 3450772"/>
              <a:gd name="connsiteX67" fmla="*/ 1485900 w 2487385"/>
              <a:gd name="connsiteY67" fmla="*/ 2411186 h 3450772"/>
              <a:gd name="connsiteX68" fmla="*/ 1442357 w 2487385"/>
              <a:gd name="connsiteY68" fmla="*/ 2481943 h 3450772"/>
              <a:gd name="connsiteX69" fmla="*/ 1382485 w 2487385"/>
              <a:gd name="connsiteY69" fmla="*/ 2492829 h 3450772"/>
              <a:gd name="connsiteX70" fmla="*/ 1295400 w 2487385"/>
              <a:gd name="connsiteY70" fmla="*/ 2471057 h 3450772"/>
              <a:gd name="connsiteX71" fmla="*/ 1246414 w 2487385"/>
              <a:gd name="connsiteY71" fmla="*/ 2503714 h 3450772"/>
              <a:gd name="connsiteX72" fmla="*/ 1208314 w 2487385"/>
              <a:gd name="connsiteY72" fmla="*/ 2509157 h 3450772"/>
              <a:gd name="connsiteX73" fmla="*/ 1132114 w 2487385"/>
              <a:gd name="connsiteY73" fmla="*/ 2509157 h 3450772"/>
              <a:gd name="connsiteX74" fmla="*/ 1121228 w 2487385"/>
              <a:gd name="connsiteY74" fmla="*/ 2503714 h 3450772"/>
              <a:gd name="connsiteX75" fmla="*/ 1104900 w 2487385"/>
              <a:gd name="connsiteY75" fmla="*/ 2541814 h 3450772"/>
              <a:gd name="connsiteX76" fmla="*/ 1066800 w 2487385"/>
              <a:gd name="connsiteY76" fmla="*/ 2530929 h 3450772"/>
              <a:gd name="connsiteX77" fmla="*/ 1034142 w 2487385"/>
              <a:gd name="connsiteY77" fmla="*/ 2585357 h 3450772"/>
              <a:gd name="connsiteX78" fmla="*/ 1012371 w 2487385"/>
              <a:gd name="connsiteY78" fmla="*/ 2547257 h 3450772"/>
              <a:gd name="connsiteX79" fmla="*/ 892628 w 2487385"/>
              <a:gd name="connsiteY79" fmla="*/ 2585357 h 3450772"/>
              <a:gd name="connsiteX80" fmla="*/ 887185 w 2487385"/>
              <a:gd name="connsiteY80" fmla="*/ 2590800 h 3450772"/>
              <a:gd name="connsiteX81" fmla="*/ 898071 w 2487385"/>
              <a:gd name="connsiteY81" fmla="*/ 2661557 h 3450772"/>
              <a:gd name="connsiteX82" fmla="*/ 838200 w 2487385"/>
              <a:gd name="connsiteY82" fmla="*/ 2786743 h 3450772"/>
              <a:gd name="connsiteX83" fmla="*/ 854528 w 2487385"/>
              <a:gd name="connsiteY83" fmla="*/ 2830286 h 3450772"/>
              <a:gd name="connsiteX84" fmla="*/ 936171 w 2487385"/>
              <a:gd name="connsiteY84" fmla="*/ 2824843 h 3450772"/>
              <a:gd name="connsiteX85" fmla="*/ 979714 w 2487385"/>
              <a:gd name="connsiteY85" fmla="*/ 2906486 h 3450772"/>
              <a:gd name="connsiteX86" fmla="*/ 985157 w 2487385"/>
              <a:gd name="connsiteY86" fmla="*/ 2911929 h 3450772"/>
              <a:gd name="connsiteX87" fmla="*/ 985157 w 2487385"/>
              <a:gd name="connsiteY87" fmla="*/ 2911929 h 3450772"/>
              <a:gd name="connsiteX88" fmla="*/ 1001485 w 2487385"/>
              <a:gd name="connsiteY88" fmla="*/ 2960914 h 3450772"/>
              <a:gd name="connsiteX89" fmla="*/ 1006928 w 2487385"/>
              <a:gd name="connsiteY89" fmla="*/ 3048000 h 3450772"/>
              <a:gd name="connsiteX90" fmla="*/ 979714 w 2487385"/>
              <a:gd name="connsiteY90" fmla="*/ 3053443 h 3450772"/>
              <a:gd name="connsiteX91" fmla="*/ 974271 w 2487385"/>
              <a:gd name="connsiteY91" fmla="*/ 3053443 h 3450772"/>
              <a:gd name="connsiteX92" fmla="*/ 985157 w 2487385"/>
              <a:gd name="connsiteY92" fmla="*/ 3086100 h 3450772"/>
              <a:gd name="connsiteX93" fmla="*/ 881742 w 2487385"/>
              <a:gd name="connsiteY93" fmla="*/ 3216729 h 3450772"/>
              <a:gd name="connsiteX94" fmla="*/ 892628 w 2487385"/>
              <a:gd name="connsiteY94" fmla="*/ 3260272 h 3450772"/>
              <a:gd name="connsiteX95" fmla="*/ 849085 w 2487385"/>
              <a:gd name="connsiteY95" fmla="*/ 3276600 h 3450772"/>
              <a:gd name="connsiteX96" fmla="*/ 827314 w 2487385"/>
              <a:gd name="connsiteY96" fmla="*/ 3320143 h 3450772"/>
              <a:gd name="connsiteX97" fmla="*/ 810985 w 2487385"/>
              <a:gd name="connsiteY97" fmla="*/ 3369129 h 3450772"/>
              <a:gd name="connsiteX98" fmla="*/ 805542 w 2487385"/>
              <a:gd name="connsiteY98" fmla="*/ 3407229 h 3450772"/>
              <a:gd name="connsiteX99" fmla="*/ 805542 w 2487385"/>
              <a:gd name="connsiteY99" fmla="*/ 3423557 h 3450772"/>
              <a:gd name="connsiteX100" fmla="*/ 800100 w 2487385"/>
              <a:gd name="connsiteY100" fmla="*/ 3418114 h 3450772"/>
              <a:gd name="connsiteX101" fmla="*/ 778328 w 2487385"/>
              <a:gd name="connsiteY101" fmla="*/ 3418114 h 3450772"/>
              <a:gd name="connsiteX102" fmla="*/ 740228 w 2487385"/>
              <a:gd name="connsiteY102" fmla="*/ 3445329 h 3450772"/>
              <a:gd name="connsiteX103" fmla="*/ 702128 w 2487385"/>
              <a:gd name="connsiteY103" fmla="*/ 3434443 h 3450772"/>
              <a:gd name="connsiteX104" fmla="*/ 702128 w 2487385"/>
              <a:gd name="connsiteY104" fmla="*/ 3434443 h 3450772"/>
              <a:gd name="connsiteX105" fmla="*/ 664028 w 2487385"/>
              <a:gd name="connsiteY105" fmla="*/ 3450772 h 3450772"/>
              <a:gd name="connsiteX106" fmla="*/ 571500 w 2487385"/>
              <a:gd name="connsiteY106" fmla="*/ 3380014 h 3450772"/>
              <a:gd name="connsiteX107" fmla="*/ 533400 w 2487385"/>
              <a:gd name="connsiteY107" fmla="*/ 3309257 h 3450772"/>
              <a:gd name="connsiteX108" fmla="*/ 462642 w 2487385"/>
              <a:gd name="connsiteY108" fmla="*/ 3303814 h 3450772"/>
              <a:gd name="connsiteX109" fmla="*/ 277585 w 2487385"/>
              <a:gd name="connsiteY109" fmla="*/ 3243943 h 3450772"/>
              <a:gd name="connsiteX110" fmla="*/ 266700 w 2487385"/>
              <a:gd name="connsiteY110" fmla="*/ 3194957 h 3450772"/>
              <a:gd name="connsiteX111" fmla="*/ 228600 w 2487385"/>
              <a:gd name="connsiteY111" fmla="*/ 3194957 h 3450772"/>
              <a:gd name="connsiteX112" fmla="*/ 223157 w 2487385"/>
              <a:gd name="connsiteY112" fmla="*/ 3216729 h 3450772"/>
              <a:gd name="connsiteX113" fmla="*/ 223157 w 2487385"/>
              <a:gd name="connsiteY113" fmla="*/ 3243943 h 3450772"/>
              <a:gd name="connsiteX114" fmla="*/ 190500 w 2487385"/>
              <a:gd name="connsiteY114" fmla="*/ 3233057 h 3450772"/>
              <a:gd name="connsiteX115" fmla="*/ 163285 w 2487385"/>
              <a:gd name="connsiteY115" fmla="*/ 3211286 h 3450772"/>
              <a:gd name="connsiteX116" fmla="*/ 152400 w 2487385"/>
              <a:gd name="connsiteY116" fmla="*/ 3194957 h 3450772"/>
              <a:gd name="connsiteX117" fmla="*/ 174171 w 2487385"/>
              <a:gd name="connsiteY117" fmla="*/ 3151414 h 3450772"/>
              <a:gd name="connsiteX118" fmla="*/ 201385 w 2487385"/>
              <a:gd name="connsiteY118" fmla="*/ 3102429 h 3450772"/>
              <a:gd name="connsiteX119" fmla="*/ 185057 w 2487385"/>
              <a:gd name="connsiteY119" fmla="*/ 3064329 h 3450772"/>
              <a:gd name="connsiteX120" fmla="*/ 185057 w 2487385"/>
              <a:gd name="connsiteY120" fmla="*/ 3042557 h 3450772"/>
              <a:gd name="connsiteX121" fmla="*/ 125185 w 2487385"/>
              <a:gd name="connsiteY121" fmla="*/ 3042557 h 3450772"/>
              <a:gd name="connsiteX122" fmla="*/ 103414 w 2487385"/>
              <a:gd name="connsiteY122" fmla="*/ 3031672 h 3450772"/>
              <a:gd name="connsiteX123" fmla="*/ 70757 w 2487385"/>
              <a:gd name="connsiteY123" fmla="*/ 3058886 h 3450772"/>
              <a:gd name="connsiteX124" fmla="*/ 65314 w 2487385"/>
              <a:gd name="connsiteY124" fmla="*/ 3020786 h 3450772"/>
              <a:gd name="connsiteX125" fmla="*/ 0 w 2487385"/>
              <a:gd name="connsiteY125" fmla="*/ 2982686 h 3450772"/>
              <a:gd name="connsiteX126" fmla="*/ 54428 w 2487385"/>
              <a:gd name="connsiteY126" fmla="*/ 2933700 h 3450772"/>
              <a:gd name="connsiteX127" fmla="*/ 179614 w 2487385"/>
              <a:gd name="connsiteY127" fmla="*/ 2770414 h 3450772"/>
              <a:gd name="connsiteX128" fmla="*/ 326571 w 2487385"/>
              <a:gd name="connsiteY128" fmla="*/ 2122714 h 3450772"/>
              <a:gd name="connsiteX129" fmla="*/ 315685 w 2487385"/>
              <a:gd name="connsiteY129" fmla="*/ 2046514 h 3450772"/>
              <a:gd name="connsiteX130" fmla="*/ 359228 w 2487385"/>
              <a:gd name="connsiteY130" fmla="*/ 1964872 h 3450772"/>
              <a:gd name="connsiteX131" fmla="*/ 435428 w 2487385"/>
              <a:gd name="connsiteY131" fmla="*/ 1970314 h 3450772"/>
              <a:gd name="connsiteX132" fmla="*/ 440871 w 2487385"/>
              <a:gd name="connsiteY132" fmla="*/ 1937657 h 3450772"/>
              <a:gd name="connsiteX133" fmla="*/ 391885 w 2487385"/>
              <a:gd name="connsiteY133" fmla="*/ 1883229 h 3450772"/>
              <a:gd name="connsiteX134" fmla="*/ 386442 w 2487385"/>
              <a:gd name="connsiteY134" fmla="*/ 1872343 h 3450772"/>
              <a:gd name="connsiteX135" fmla="*/ 326571 w 2487385"/>
              <a:gd name="connsiteY135" fmla="*/ 1948543 h 3450772"/>
              <a:gd name="connsiteX136" fmla="*/ 408214 w 2487385"/>
              <a:gd name="connsiteY136" fmla="*/ 1338943 h 3450772"/>
              <a:gd name="connsiteX137" fmla="*/ 446314 w 2487385"/>
              <a:gd name="connsiteY137" fmla="*/ 1251857 h 3450772"/>
              <a:gd name="connsiteX138" fmla="*/ 462642 w 2487385"/>
              <a:gd name="connsiteY138" fmla="*/ 1300843 h 3450772"/>
              <a:gd name="connsiteX139" fmla="*/ 582385 w 2487385"/>
              <a:gd name="connsiteY139" fmla="*/ 1409700 h 3450772"/>
              <a:gd name="connsiteX140" fmla="*/ 620485 w 2487385"/>
              <a:gd name="connsiteY140" fmla="*/ 1513114 h 3450772"/>
              <a:gd name="connsiteX141" fmla="*/ 653142 w 2487385"/>
              <a:gd name="connsiteY141" fmla="*/ 1464129 h 3450772"/>
              <a:gd name="connsiteX142" fmla="*/ 625928 w 2487385"/>
              <a:gd name="connsiteY142" fmla="*/ 1344386 h 3450772"/>
              <a:gd name="connsiteX143" fmla="*/ 484414 w 2487385"/>
              <a:gd name="connsiteY143" fmla="*/ 1197429 h 3450772"/>
              <a:gd name="connsiteX144" fmla="*/ 435428 w 2487385"/>
              <a:gd name="connsiteY144" fmla="*/ 1164772 h 3450772"/>
              <a:gd name="connsiteX145" fmla="*/ 381000 w 2487385"/>
              <a:gd name="connsiteY145" fmla="*/ 1137557 h 3450772"/>
              <a:gd name="connsiteX146" fmla="*/ 370114 w 2487385"/>
              <a:gd name="connsiteY146" fmla="*/ 1083129 h 3450772"/>
              <a:gd name="connsiteX147" fmla="*/ 424542 w 2487385"/>
              <a:gd name="connsiteY147" fmla="*/ 1050472 h 3450772"/>
              <a:gd name="connsiteX148" fmla="*/ 468085 w 2487385"/>
              <a:gd name="connsiteY148" fmla="*/ 968829 h 3450772"/>
              <a:gd name="connsiteX149" fmla="*/ 446314 w 2487385"/>
              <a:gd name="connsiteY149" fmla="*/ 892629 h 3450772"/>
              <a:gd name="connsiteX150" fmla="*/ 446314 w 2487385"/>
              <a:gd name="connsiteY150" fmla="*/ 892629 h 3450772"/>
              <a:gd name="connsiteX151" fmla="*/ 478971 w 2487385"/>
              <a:gd name="connsiteY151" fmla="*/ 881743 h 3450772"/>
              <a:gd name="connsiteX152" fmla="*/ 424542 w 2487385"/>
              <a:gd name="connsiteY152" fmla="*/ 789214 h 3450772"/>
              <a:gd name="connsiteX153" fmla="*/ 386442 w 2487385"/>
              <a:gd name="connsiteY153" fmla="*/ 778329 h 3450772"/>
              <a:gd name="connsiteX154" fmla="*/ 429985 w 2487385"/>
              <a:gd name="connsiteY154" fmla="*/ 685800 h 3450772"/>
              <a:gd name="connsiteX155" fmla="*/ 451757 w 2487385"/>
              <a:gd name="connsiteY155" fmla="*/ 658586 h 3450772"/>
              <a:gd name="connsiteX156" fmla="*/ 560614 w 2487385"/>
              <a:gd name="connsiteY156" fmla="*/ 620486 h 3450772"/>
              <a:gd name="connsiteX157" fmla="*/ 560614 w 2487385"/>
              <a:gd name="connsiteY157" fmla="*/ 620486 h 3450772"/>
              <a:gd name="connsiteX158" fmla="*/ 636814 w 2487385"/>
              <a:gd name="connsiteY158" fmla="*/ 647700 h 3450772"/>
              <a:gd name="connsiteX159" fmla="*/ 658585 w 2487385"/>
              <a:gd name="connsiteY159" fmla="*/ 674914 h 3450772"/>
              <a:gd name="connsiteX160" fmla="*/ 772885 w 2487385"/>
              <a:gd name="connsiteY160" fmla="*/ 615043 h 3450772"/>
              <a:gd name="connsiteX161" fmla="*/ 745671 w 2487385"/>
              <a:gd name="connsiteY161" fmla="*/ 582386 h 3450772"/>
              <a:gd name="connsiteX162" fmla="*/ 740228 w 2487385"/>
              <a:gd name="connsiteY162" fmla="*/ 506186 h 3450772"/>
              <a:gd name="connsiteX163" fmla="*/ 702128 w 2487385"/>
              <a:gd name="connsiteY163" fmla="*/ 353786 h 3450772"/>
              <a:gd name="connsiteX164" fmla="*/ 685800 w 2487385"/>
              <a:gd name="connsiteY164" fmla="*/ 277586 h 3450772"/>
              <a:gd name="connsiteX165" fmla="*/ 674914 w 2487385"/>
              <a:gd name="connsiteY165" fmla="*/ 244929 h 3450772"/>
              <a:gd name="connsiteX166" fmla="*/ 615042 w 2487385"/>
              <a:gd name="connsiteY166" fmla="*/ 179614 h 3450772"/>
              <a:gd name="connsiteX167" fmla="*/ 604157 w 2487385"/>
              <a:gd name="connsiteY167" fmla="*/ 136072 h 3450772"/>
              <a:gd name="connsiteX168" fmla="*/ 598714 w 2487385"/>
              <a:gd name="connsiteY168" fmla="*/ 130629 h 3450772"/>
              <a:gd name="connsiteX169" fmla="*/ 734785 w 2487385"/>
              <a:gd name="connsiteY169" fmla="*/ 125186 h 3450772"/>
              <a:gd name="connsiteX170" fmla="*/ 745671 w 2487385"/>
              <a:gd name="connsiteY170" fmla="*/ 125186 h 3450772"/>
              <a:gd name="connsiteX171" fmla="*/ 810985 w 2487385"/>
              <a:gd name="connsiteY171" fmla="*/ 59872 h 3450772"/>
              <a:gd name="connsiteX172" fmla="*/ 985157 w 2487385"/>
              <a:gd name="connsiteY172" fmla="*/ 43543 h 3450772"/>
              <a:gd name="connsiteX173" fmla="*/ 1017814 w 2487385"/>
              <a:gd name="connsiteY173" fmla="*/ 81643 h 3450772"/>
              <a:gd name="connsiteX174" fmla="*/ 1126671 w 2487385"/>
              <a:gd name="connsiteY174" fmla="*/ 0 h 3450772"/>
              <a:gd name="connsiteX0" fmla="*/ 1126671 w 2487385"/>
              <a:gd name="connsiteY0" fmla="*/ 0 h 3450772"/>
              <a:gd name="connsiteX1" fmla="*/ 1181100 w 2487385"/>
              <a:gd name="connsiteY1" fmla="*/ 38100 h 3450772"/>
              <a:gd name="connsiteX2" fmla="*/ 1191985 w 2487385"/>
              <a:gd name="connsiteY2" fmla="*/ 87086 h 3450772"/>
              <a:gd name="connsiteX3" fmla="*/ 1230085 w 2487385"/>
              <a:gd name="connsiteY3" fmla="*/ 76200 h 3450772"/>
              <a:gd name="connsiteX4" fmla="*/ 1246414 w 2487385"/>
              <a:gd name="connsiteY4" fmla="*/ 141514 h 3450772"/>
              <a:gd name="connsiteX5" fmla="*/ 1246414 w 2487385"/>
              <a:gd name="connsiteY5" fmla="*/ 163286 h 3450772"/>
              <a:gd name="connsiteX6" fmla="*/ 1268185 w 2487385"/>
              <a:gd name="connsiteY6" fmla="*/ 179614 h 3450772"/>
              <a:gd name="connsiteX7" fmla="*/ 1398814 w 2487385"/>
              <a:gd name="connsiteY7" fmla="*/ 174172 h 3450772"/>
              <a:gd name="connsiteX8" fmla="*/ 1409700 w 2487385"/>
              <a:gd name="connsiteY8" fmla="*/ 174172 h 3450772"/>
              <a:gd name="connsiteX9" fmla="*/ 1398814 w 2487385"/>
              <a:gd name="connsiteY9" fmla="*/ 130629 h 3450772"/>
              <a:gd name="connsiteX10" fmla="*/ 1458685 w 2487385"/>
              <a:gd name="connsiteY10" fmla="*/ 174172 h 3450772"/>
              <a:gd name="connsiteX11" fmla="*/ 1464128 w 2487385"/>
              <a:gd name="connsiteY11" fmla="*/ 212272 h 3450772"/>
              <a:gd name="connsiteX12" fmla="*/ 1480457 w 2487385"/>
              <a:gd name="connsiteY12" fmla="*/ 250372 h 3450772"/>
              <a:gd name="connsiteX13" fmla="*/ 1583871 w 2487385"/>
              <a:gd name="connsiteY13" fmla="*/ 370114 h 3450772"/>
              <a:gd name="connsiteX14" fmla="*/ 1589314 w 2487385"/>
              <a:gd name="connsiteY14" fmla="*/ 386443 h 3450772"/>
              <a:gd name="connsiteX15" fmla="*/ 1567542 w 2487385"/>
              <a:gd name="connsiteY15" fmla="*/ 446314 h 3450772"/>
              <a:gd name="connsiteX16" fmla="*/ 1632857 w 2487385"/>
              <a:gd name="connsiteY16" fmla="*/ 511629 h 3450772"/>
              <a:gd name="connsiteX17" fmla="*/ 1676400 w 2487385"/>
              <a:gd name="connsiteY17" fmla="*/ 506186 h 3450772"/>
              <a:gd name="connsiteX18" fmla="*/ 1687285 w 2487385"/>
              <a:gd name="connsiteY18" fmla="*/ 576943 h 3450772"/>
              <a:gd name="connsiteX19" fmla="*/ 1730828 w 2487385"/>
              <a:gd name="connsiteY19" fmla="*/ 582386 h 3450772"/>
              <a:gd name="connsiteX20" fmla="*/ 1714500 w 2487385"/>
              <a:gd name="connsiteY20" fmla="*/ 636814 h 3450772"/>
              <a:gd name="connsiteX21" fmla="*/ 1747157 w 2487385"/>
              <a:gd name="connsiteY21" fmla="*/ 647700 h 3450772"/>
              <a:gd name="connsiteX22" fmla="*/ 1807028 w 2487385"/>
              <a:gd name="connsiteY22" fmla="*/ 625929 h 3450772"/>
              <a:gd name="connsiteX23" fmla="*/ 1839685 w 2487385"/>
              <a:gd name="connsiteY23" fmla="*/ 658586 h 3450772"/>
              <a:gd name="connsiteX24" fmla="*/ 1877785 w 2487385"/>
              <a:gd name="connsiteY24" fmla="*/ 620486 h 3450772"/>
              <a:gd name="connsiteX25" fmla="*/ 2024742 w 2487385"/>
              <a:gd name="connsiteY25" fmla="*/ 625929 h 3450772"/>
              <a:gd name="connsiteX26" fmla="*/ 2046514 w 2487385"/>
              <a:gd name="connsiteY26" fmla="*/ 593272 h 3450772"/>
              <a:gd name="connsiteX27" fmla="*/ 2193471 w 2487385"/>
              <a:gd name="connsiteY27" fmla="*/ 609600 h 3450772"/>
              <a:gd name="connsiteX28" fmla="*/ 2318657 w 2487385"/>
              <a:gd name="connsiteY28" fmla="*/ 609600 h 3450772"/>
              <a:gd name="connsiteX29" fmla="*/ 2324100 w 2487385"/>
              <a:gd name="connsiteY29" fmla="*/ 658586 h 3450772"/>
              <a:gd name="connsiteX30" fmla="*/ 2427514 w 2487385"/>
              <a:gd name="connsiteY30" fmla="*/ 718457 h 3450772"/>
              <a:gd name="connsiteX31" fmla="*/ 2460171 w 2487385"/>
              <a:gd name="connsiteY31" fmla="*/ 821872 h 3450772"/>
              <a:gd name="connsiteX32" fmla="*/ 2460171 w 2487385"/>
              <a:gd name="connsiteY32" fmla="*/ 865414 h 3450772"/>
              <a:gd name="connsiteX33" fmla="*/ 2460171 w 2487385"/>
              <a:gd name="connsiteY33" fmla="*/ 887186 h 3450772"/>
              <a:gd name="connsiteX34" fmla="*/ 2487385 w 2487385"/>
              <a:gd name="connsiteY34" fmla="*/ 952500 h 3450772"/>
              <a:gd name="connsiteX35" fmla="*/ 2367642 w 2487385"/>
              <a:gd name="connsiteY35" fmla="*/ 1072243 h 3450772"/>
              <a:gd name="connsiteX36" fmla="*/ 2440256 w 2487385"/>
              <a:gd name="connsiteY36" fmla="*/ 1143000 h 3450772"/>
              <a:gd name="connsiteX37" fmla="*/ 2460831 w 2487385"/>
              <a:gd name="connsiteY37" fmla="*/ 1208314 h 3450772"/>
              <a:gd name="connsiteX38" fmla="*/ 2427514 w 2487385"/>
              <a:gd name="connsiteY38" fmla="*/ 1257300 h 3450772"/>
              <a:gd name="connsiteX39" fmla="*/ 2462027 w 2487385"/>
              <a:gd name="connsiteY39" fmla="*/ 1420586 h 3450772"/>
              <a:gd name="connsiteX40" fmla="*/ 2383971 w 2487385"/>
              <a:gd name="connsiteY40" fmla="*/ 1404257 h 3450772"/>
              <a:gd name="connsiteX41" fmla="*/ 2373085 w 2487385"/>
              <a:gd name="connsiteY41" fmla="*/ 1415143 h 3450772"/>
              <a:gd name="connsiteX42" fmla="*/ 2362200 w 2487385"/>
              <a:gd name="connsiteY42" fmla="*/ 1447800 h 3450772"/>
              <a:gd name="connsiteX43" fmla="*/ 2258785 w 2487385"/>
              <a:gd name="connsiteY43" fmla="*/ 1562100 h 3450772"/>
              <a:gd name="connsiteX44" fmla="*/ 2275114 w 2487385"/>
              <a:gd name="connsiteY44" fmla="*/ 1594757 h 3450772"/>
              <a:gd name="connsiteX45" fmla="*/ 2247900 w 2487385"/>
              <a:gd name="connsiteY45" fmla="*/ 1627414 h 3450772"/>
              <a:gd name="connsiteX46" fmla="*/ 2247900 w 2487385"/>
              <a:gd name="connsiteY46" fmla="*/ 1676400 h 3450772"/>
              <a:gd name="connsiteX47" fmla="*/ 2215242 w 2487385"/>
              <a:gd name="connsiteY47" fmla="*/ 1692729 h 3450772"/>
              <a:gd name="connsiteX48" fmla="*/ 2209800 w 2487385"/>
              <a:gd name="connsiteY48" fmla="*/ 1741714 h 3450772"/>
              <a:gd name="connsiteX49" fmla="*/ 2198914 w 2487385"/>
              <a:gd name="connsiteY49" fmla="*/ 1763486 h 3450772"/>
              <a:gd name="connsiteX50" fmla="*/ 2106385 w 2487385"/>
              <a:gd name="connsiteY50" fmla="*/ 1763486 h 3450772"/>
              <a:gd name="connsiteX51" fmla="*/ 2046514 w 2487385"/>
              <a:gd name="connsiteY51" fmla="*/ 1779814 h 3450772"/>
              <a:gd name="connsiteX52" fmla="*/ 1943100 w 2487385"/>
              <a:gd name="connsiteY52" fmla="*/ 1714500 h 3450772"/>
              <a:gd name="connsiteX53" fmla="*/ 1845128 w 2487385"/>
              <a:gd name="connsiteY53" fmla="*/ 1714500 h 3450772"/>
              <a:gd name="connsiteX54" fmla="*/ 1823357 w 2487385"/>
              <a:gd name="connsiteY54" fmla="*/ 1845129 h 3450772"/>
              <a:gd name="connsiteX55" fmla="*/ 1768928 w 2487385"/>
              <a:gd name="connsiteY55" fmla="*/ 1888672 h 3450772"/>
              <a:gd name="connsiteX56" fmla="*/ 1763485 w 2487385"/>
              <a:gd name="connsiteY56" fmla="*/ 1937657 h 3450772"/>
              <a:gd name="connsiteX57" fmla="*/ 1714500 w 2487385"/>
              <a:gd name="connsiteY57" fmla="*/ 1959429 h 3450772"/>
              <a:gd name="connsiteX58" fmla="*/ 1621971 w 2487385"/>
              <a:gd name="connsiteY58" fmla="*/ 2073729 h 3450772"/>
              <a:gd name="connsiteX59" fmla="*/ 1589314 w 2487385"/>
              <a:gd name="connsiteY59" fmla="*/ 2100943 h 3450772"/>
              <a:gd name="connsiteX60" fmla="*/ 1616528 w 2487385"/>
              <a:gd name="connsiteY60" fmla="*/ 2220686 h 3450772"/>
              <a:gd name="connsiteX61" fmla="*/ 1529442 w 2487385"/>
              <a:gd name="connsiteY61" fmla="*/ 2253343 h 3450772"/>
              <a:gd name="connsiteX62" fmla="*/ 1534885 w 2487385"/>
              <a:gd name="connsiteY62" fmla="*/ 2280557 h 3450772"/>
              <a:gd name="connsiteX63" fmla="*/ 1524000 w 2487385"/>
              <a:gd name="connsiteY63" fmla="*/ 2291443 h 3450772"/>
              <a:gd name="connsiteX64" fmla="*/ 1556657 w 2487385"/>
              <a:gd name="connsiteY64" fmla="*/ 2307772 h 3450772"/>
              <a:gd name="connsiteX65" fmla="*/ 1507671 w 2487385"/>
              <a:gd name="connsiteY65" fmla="*/ 2383972 h 3450772"/>
              <a:gd name="connsiteX66" fmla="*/ 1524000 w 2487385"/>
              <a:gd name="connsiteY66" fmla="*/ 2416629 h 3450772"/>
              <a:gd name="connsiteX67" fmla="*/ 1485900 w 2487385"/>
              <a:gd name="connsiteY67" fmla="*/ 2411186 h 3450772"/>
              <a:gd name="connsiteX68" fmla="*/ 1442357 w 2487385"/>
              <a:gd name="connsiteY68" fmla="*/ 2481943 h 3450772"/>
              <a:gd name="connsiteX69" fmla="*/ 1382485 w 2487385"/>
              <a:gd name="connsiteY69" fmla="*/ 2492829 h 3450772"/>
              <a:gd name="connsiteX70" fmla="*/ 1295400 w 2487385"/>
              <a:gd name="connsiteY70" fmla="*/ 2471057 h 3450772"/>
              <a:gd name="connsiteX71" fmla="*/ 1246414 w 2487385"/>
              <a:gd name="connsiteY71" fmla="*/ 2503714 h 3450772"/>
              <a:gd name="connsiteX72" fmla="*/ 1208314 w 2487385"/>
              <a:gd name="connsiteY72" fmla="*/ 2509157 h 3450772"/>
              <a:gd name="connsiteX73" fmla="*/ 1132114 w 2487385"/>
              <a:gd name="connsiteY73" fmla="*/ 2509157 h 3450772"/>
              <a:gd name="connsiteX74" fmla="*/ 1121228 w 2487385"/>
              <a:gd name="connsiteY74" fmla="*/ 2503714 h 3450772"/>
              <a:gd name="connsiteX75" fmla="*/ 1104900 w 2487385"/>
              <a:gd name="connsiteY75" fmla="*/ 2541814 h 3450772"/>
              <a:gd name="connsiteX76" fmla="*/ 1066800 w 2487385"/>
              <a:gd name="connsiteY76" fmla="*/ 2530929 h 3450772"/>
              <a:gd name="connsiteX77" fmla="*/ 1034142 w 2487385"/>
              <a:gd name="connsiteY77" fmla="*/ 2585357 h 3450772"/>
              <a:gd name="connsiteX78" fmla="*/ 1012371 w 2487385"/>
              <a:gd name="connsiteY78" fmla="*/ 2547257 h 3450772"/>
              <a:gd name="connsiteX79" fmla="*/ 892628 w 2487385"/>
              <a:gd name="connsiteY79" fmla="*/ 2585357 h 3450772"/>
              <a:gd name="connsiteX80" fmla="*/ 887185 w 2487385"/>
              <a:gd name="connsiteY80" fmla="*/ 2590800 h 3450772"/>
              <a:gd name="connsiteX81" fmla="*/ 898071 w 2487385"/>
              <a:gd name="connsiteY81" fmla="*/ 2661557 h 3450772"/>
              <a:gd name="connsiteX82" fmla="*/ 838200 w 2487385"/>
              <a:gd name="connsiteY82" fmla="*/ 2786743 h 3450772"/>
              <a:gd name="connsiteX83" fmla="*/ 854528 w 2487385"/>
              <a:gd name="connsiteY83" fmla="*/ 2830286 h 3450772"/>
              <a:gd name="connsiteX84" fmla="*/ 936171 w 2487385"/>
              <a:gd name="connsiteY84" fmla="*/ 2824843 h 3450772"/>
              <a:gd name="connsiteX85" fmla="*/ 979714 w 2487385"/>
              <a:gd name="connsiteY85" fmla="*/ 2906486 h 3450772"/>
              <a:gd name="connsiteX86" fmla="*/ 985157 w 2487385"/>
              <a:gd name="connsiteY86" fmla="*/ 2911929 h 3450772"/>
              <a:gd name="connsiteX87" fmla="*/ 985157 w 2487385"/>
              <a:gd name="connsiteY87" fmla="*/ 2911929 h 3450772"/>
              <a:gd name="connsiteX88" fmla="*/ 1001485 w 2487385"/>
              <a:gd name="connsiteY88" fmla="*/ 2960914 h 3450772"/>
              <a:gd name="connsiteX89" fmla="*/ 1006928 w 2487385"/>
              <a:gd name="connsiteY89" fmla="*/ 3048000 h 3450772"/>
              <a:gd name="connsiteX90" fmla="*/ 979714 w 2487385"/>
              <a:gd name="connsiteY90" fmla="*/ 3053443 h 3450772"/>
              <a:gd name="connsiteX91" fmla="*/ 974271 w 2487385"/>
              <a:gd name="connsiteY91" fmla="*/ 3053443 h 3450772"/>
              <a:gd name="connsiteX92" fmla="*/ 985157 w 2487385"/>
              <a:gd name="connsiteY92" fmla="*/ 3086100 h 3450772"/>
              <a:gd name="connsiteX93" fmla="*/ 881742 w 2487385"/>
              <a:gd name="connsiteY93" fmla="*/ 3216729 h 3450772"/>
              <a:gd name="connsiteX94" fmla="*/ 892628 w 2487385"/>
              <a:gd name="connsiteY94" fmla="*/ 3260272 h 3450772"/>
              <a:gd name="connsiteX95" fmla="*/ 849085 w 2487385"/>
              <a:gd name="connsiteY95" fmla="*/ 3276600 h 3450772"/>
              <a:gd name="connsiteX96" fmla="*/ 827314 w 2487385"/>
              <a:gd name="connsiteY96" fmla="*/ 3320143 h 3450772"/>
              <a:gd name="connsiteX97" fmla="*/ 810985 w 2487385"/>
              <a:gd name="connsiteY97" fmla="*/ 3369129 h 3450772"/>
              <a:gd name="connsiteX98" fmla="*/ 805542 w 2487385"/>
              <a:gd name="connsiteY98" fmla="*/ 3407229 h 3450772"/>
              <a:gd name="connsiteX99" fmla="*/ 805542 w 2487385"/>
              <a:gd name="connsiteY99" fmla="*/ 3423557 h 3450772"/>
              <a:gd name="connsiteX100" fmla="*/ 800100 w 2487385"/>
              <a:gd name="connsiteY100" fmla="*/ 3418114 h 3450772"/>
              <a:gd name="connsiteX101" fmla="*/ 778328 w 2487385"/>
              <a:gd name="connsiteY101" fmla="*/ 3418114 h 3450772"/>
              <a:gd name="connsiteX102" fmla="*/ 740228 w 2487385"/>
              <a:gd name="connsiteY102" fmla="*/ 3445329 h 3450772"/>
              <a:gd name="connsiteX103" fmla="*/ 702128 w 2487385"/>
              <a:gd name="connsiteY103" fmla="*/ 3434443 h 3450772"/>
              <a:gd name="connsiteX104" fmla="*/ 702128 w 2487385"/>
              <a:gd name="connsiteY104" fmla="*/ 3434443 h 3450772"/>
              <a:gd name="connsiteX105" fmla="*/ 664028 w 2487385"/>
              <a:gd name="connsiteY105" fmla="*/ 3450772 h 3450772"/>
              <a:gd name="connsiteX106" fmla="*/ 571500 w 2487385"/>
              <a:gd name="connsiteY106" fmla="*/ 3380014 h 3450772"/>
              <a:gd name="connsiteX107" fmla="*/ 533400 w 2487385"/>
              <a:gd name="connsiteY107" fmla="*/ 3309257 h 3450772"/>
              <a:gd name="connsiteX108" fmla="*/ 462642 w 2487385"/>
              <a:gd name="connsiteY108" fmla="*/ 3303814 h 3450772"/>
              <a:gd name="connsiteX109" fmla="*/ 277585 w 2487385"/>
              <a:gd name="connsiteY109" fmla="*/ 3243943 h 3450772"/>
              <a:gd name="connsiteX110" fmla="*/ 266700 w 2487385"/>
              <a:gd name="connsiteY110" fmla="*/ 3194957 h 3450772"/>
              <a:gd name="connsiteX111" fmla="*/ 228600 w 2487385"/>
              <a:gd name="connsiteY111" fmla="*/ 3194957 h 3450772"/>
              <a:gd name="connsiteX112" fmla="*/ 223157 w 2487385"/>
              <a:gd name="connsiteY112" fmla="*/ 3216729 h 3450772"/>
              <a:gd name="connsiteX113" fmla="*/ 223157 w 2487385"/>
              <a:gd name="connsiteY113" fmla="*/ 3243943 h 3450772"/>
              <a:gd name="connsiteX114" fmla="*/ 190500 w 2487385"/>
              <a:gd name="connsiteY114" fmla="*/ 3233057 h 3450772"/>
              <a:gd name="connsiteX115" fmla="*/ 163285 w 2487385"/>
              <a:gd name="connsiteY115" fmla="*/ 3211286 h 3450772"/>
              <a:gd name="connsiteX116" fmla="*/ 152400 w 2487385"/>
              <a:gd name="connsiteY116" fmla="*/ 3194957 h 3450772"/>
              <a:gd name="connsiteX117" fmla="*/ 174171 w 2487385"/>
              <a:gd name="connsiteY117" fmla="*/ 3151414 h 3450772"/>
              <a:gd name="connsiteX118" fmla="*/ 201385 w 2487385"/>
              <a:gd name="connsiteY118" fmla="*/ 3102429 h 3450772"/>
              <a:gd name="connsiteX119" fmla="*/ 185057 w 2487385"/>
              <a:gd name="connsiteY119" fmla="*/ 3064329 h 3450772"/>
              <a:gd name="connsiteX120" fmla="*/ 185057 w 2487385"/>
              <a:gd name="connsiteY120" fmla="*/ 3042557 h 3450772"/>
              <a:gd name="connsiteX121" fmla="*/ 125185 w 2487385"/>
              <a:gd name="connsiteY121" fmla="*/ 3042557 h 3450772"/>
              <a:gd name="connsiteX122" fmla="*/ 103414 w 2487385"/>
              <a:gd name="connsiteY122" fmla="*/ 3031672 h 3450772"/>
              <a:gd name="connsiteX123" fmla="*/ 70757 w 2487385"/>
              <a:gd name="connsiteY123" fmla="*/ 3058886 h 3450772"/>
              <a:gd name="connsiteX124" fmla="*/ 65314 w 2487385"/>
              <a:gd name="connsiteY124" fmla="*/ 3020786 h 3450772"/>
              <a:gd name="connsiteX125" fmla="*/ 0 w 2487385"/>
              <a:gd name="connsiteY125" fmla="*/ 2982686 h 3450772"/>
              <a:gd name="connsiteX126" fmla="*/ 54428 w 2487385"/>
              <a:gd name="connsiteY126" fmla="*/ 2933700 h 3450772"/>
              <a:gd name="connsiteX127" fmla="*/ 179614 w 2487385"/>
              <a:gd name="connsiteY127" fmla="*/ 2770414 h 3450772"/>
              <a:gd name="connsiteX128" fmla="*/ 326571 w 2487385"/>
              <a:gd name="connsiteY128" fmla="*/ 2122714 h 3450772"/>
              <a:gd name="connsiteX129" fmla="*/ 315685 w 2487385"/>
              <a:gd name="connsiteY129" fmla="*/ 2046514 h 3450772"/>
              <a:gd name="connsiteX130" fmla="*/ 359228 w 2487385"/>
              <a:gd name="connsiteY130" fmla="*/ 1964872 h 3450772"/>
              <a:gd name="connsiteX131" fmla="*/ 435428 w 2487385"/>
              <a:gd name="connsiteY131" fmla="*/ 1970314 h 3450772"/>
              <a:gd name="connsiteX132" fmla="*/ 440871 w 2487385"/>
              <a:gd name="connsiteY132" fmla="*/ 1937657 h 3450772"/>
              <a:gd name="connsiteX133" fmla="*/ 391885 w 2487385"/>
              <a:gd name="connsiteY133" fmla="*/ 1883229 h 3450772"/>
              <a:gd name="connsiteX134" fmla="*/ 386442 w 2487385"/>
              <a:gd name="connsiteY134" fmla="*/ 1872343 h 3450772"/>
              <a:gd name="connsiteX135" fmla="*/ 326571 w 2487385"/>
              <a:gd name="connsiteY135" fmla="*/ 1948543 h 3450772"/>
              <a:gd name="connsiteX136" fmla="*/ 408214 w 2487385"/>
              <a:gd name="connsiteY136" fmla="*/ 1338943 h 3450772"/>
              <a:gd name="connsiteX137" fmla="*/ 446314 w 2487385"/>
              <a:gd name="connsiteY137" fmla="*/ 1251857 h 3450772"/>
              <a:gd name="connsiteX138" fmla="*/ 462642 w 2487385"/>
              <a:gd name="connsiteY138" fmla="*/ 1300843 h 3450772"/>
              <a:gd name="connsiteX139" fmla="*/ 582385 w 2487385"/>
              <a:gd name="connsiteY139" fmla="*/ 1409700 h 3450772"/>
              <a:gd name="connsiteX140" fmla="*/ 620485 w 2487385"/>
              <a:gd name="connsiteY140" fmla="*/ 1513114 h 3450772"/>
              <a:gd name="connsiteX141" fmla="*/ 653142 w 2487385"/>
              <a:gd name="connsiteY141" fmla="*/ 1464129 h 3450772"/>
              <a:gd name="connsiteX142" fmla="*/ 625928 w 2487385"/>
              <a:gd name="connsiteY142" fmla="*/ 1344386 h 3450772"/>
              <a:gd name="connsiteX143" fmla="*/ 484414 w 2487385"/>
              <a:gd name="connsiteY143" fmla="*/ 1197429 h 3450772"/>
              <a:gd name="connsiteX144" fmla="*/ 435428 w 2487385"/>
              <a:gd name="connsiteY144" fmla="*/ 1164772 h 3450772"/>
              <a:gd name="connsiteX145" fmla="*/ 381000 w 2487385"/>
              <a:gd name="connsiteY145" fmla="*/ 1137557 h 3450772"/>
              <a:gd name="connsiteX146" fmla="*/ 370114 w 2487385"/>
              <a:gd name="connsiteY146" fmla="*/ 1083129 h 3450772"/>
              <a:gd name="connsiteX147" fmla="*/ 424542 w 2487385"/>
              <a:gd name="connsiteY147" fmla="*/ 1050472 h 3450772"/>
              <a:gd name="connsiteX148" fmla="*/ 468085 w 2487385"/>
              <a:gd name="connsiteY148" fmla="*/ 968829 h 3450772"/>
              <a:gd name="connsiteX149" fmla="*/ 446314 w 2487385"/>
              <a:gd name="connsiteY149" fmla="*/ 892629 h 3450772"/>
              <a:gd name="connsiteX150" fmla="*/ 446314 w 2487385"/>
              <a:gd name="connsiteY150" fmla="*/ 892629 h 3450772"/>
              <a:gd name="connsiteX151" fmla="*/ 478971 w 2487385"/>
              <a:gd name="connsiteY151" fmla="*/ 881743 h 3450772"/>
              <a:gd name="connsiteX152" fmla="*/ 424542 w 2487385"/>
              <a:gd name="connsiteY152" fmla="*/ 789214 h 3450772"/>
              <a:gd name="connsiteX153" fmla="*/ 386442 w 2487385"/>
              <a:gd name="connsiteY153" fmla="*/ 778329 h 3450772"/>
              <a:gd name="connsiteX154" fmla="*/ 429985 w 2487385"/>
              <a:gd name="connsiteY154" fmla="*/ 685800 h 3450772"/>
              <a:gd name="connsiteX155" fmla="*/ 451757 w 2487385"/>
              <a:gd name="connsiteY155" fmla="*/ 658586 h 3450772"/>
              <a:gd name="connsiteX156" fmla="*/ 560614 w 2487385"/>
              <a:gd name="connsiteY156" fmla="*/ 620486 h 3450772"/>
              <a:gd name="connsiteX157" fmla="*/ 560614 w 2487385"/>
              <a:gd name="connsiteY157" fmla="*/ 620486 h 3450772"/>
              <a:gd name="connsiteX158" fmla="*/ 636814 w 2487385"/>
              <a:gd name="connsiteY158" fmla="*/ 647700 h 3450772"/>
              <a:gd name="connsiteX159" fmla="*/ 658585 w 2487385"/>
              <a:gd name="connsiteY159" fmla="*/ 674914 h 3450772"/>
              <a:gd name="connsiteX160" fmla="*/ 772885 w 2487385"/>
              <a:gd name="connsiteY160" fmla="*/ 615043 h 3450772"/>
              <a:gd name="connsiteX161" fmla="*/ 745671 w 2487385"/>
              <a:gd name="connsiteY161" fmla="*/ 582386 h 3450772"/>
              <a:gd name="connsiteX162" fmla="*/ 740228 w 2487385"/>
              <a:gd name="connsiteY162" fmla="*/ 506186 h 3450772"/>
              <a:gd name="connsiteX163" fmla="*/ 702128 w 2487385"/>
              <a:gd name="connsiteY163" fmla="*/ 353786 h 3450772"/>
              <a:gd name="connsiteX164" fmla="*/ 685800 w 2487385"/>
              <a:gd name="connsiteY164" fmla="*/ 277586 h 3450772"/>
              <a:gd name="connsiteX165" fmla="*/ 674914 w 2487385"/>
              <a:gd name="connsiteY165" fmla="*/ 244929 h 3450772"/>
              <a:gd name="connsiteX166" fmla="*/ 615042 w 2487385"/>
              <a:gd name="connsiteY166" fmla="*/ 179614 h 3450772"/>
              <a:gd name="connsiteX167" fmla="*/ 604157 w 2487385"/>
              <a:gd name="connsiteY167" fmla="*/ 136072 h 3450772"/>
              <a:gd name="connsiteX168" fmla="*/ 598714 w 2487385"/>
              <a:gd name="connsiteY168" fmla="*/ 130629 h 3450772"/>
              <a:gd name="connsiteX169" fmla="*/ 734785 w 2487385"/>
              <a:gd name="connsiteY169" fmla="*/ 125186 h 3450772"/>
              <a:gd name="connsiteX170" fmla="*/ 745671 w 2487385"/>
              <a:gd name="connsiteY170" fmla="*/ 125186 h 3450772"/>
              <a:gd name="connsiteX171" fmla="*/ 810985 w 2487385"/>
              <a:gd name="connsiteY171" fmla="*/ 59872 h 3450772"/>
              <a:gd name="connsiteX172" fmla="*/ 985157 w 2487385"/>
              <a:gd name="connsiteY172" fmla="*/ 43543 h 3450772"/>
              <a:gd name="connsiteX173" fmla="*/ 1017814 w 2487385"/>
              <a:gd name="connsiteY173" fmla="*/ 81643 h 3450772"/>
              <a:gd name="connsiteX174" fmla="*/ 1126671 w 2487385"/>
              <a:gd name="connsiteY174"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24100 w 2500127"/>
              <a:gd name="connsiteY29" fmla="*/ 658586 h 3450772"/>
              <a:gd name="connsiteX30" fmla="*/ 2427514 w 2500127"/>
              <a:gd name="connsiteY30" fmla="*/ 718457 h 3450772"/>
              <a:gd name="connsiteX31" fmla="*/ 2460171 w 2500127"/>
              <a:gd name="connsiteY31" fmla="*/ 821872 h 3450772"/>
              <a:gd name="connsiteX32" fmla="*/ 2460171 w 2500127"/>
              <a:gd name="connsiteY32" fmla="*/ 865414 h 3450772"/>
              <a:gd name="connsiteX33" fmla="*/ 2460171 w 2500127"/>
              <a:gd name="connsiteY33" fmla="*/ 887186 h 3450772"/>
              <a:gd name="connsiteX34" fmla="*/ 2500127 w 2500127"/>
              <a:gd name="connsiteY34" fmla="*/ 952500 h 3450772"/>
              <a:gd name="connsiteX35" fmla="*/ 2367642 w 2500127"/>
              <a:gd name="connsiteY35" fmla="*/ 1072243 h 3450772"/>
              <a:gd name="connsiteX36" fmla="*/ 2440256 w 2500127"/>
              <a:gd name="connsiteY36" fmla="*/ 1143000 h 3450772"/>
              <a:gd name="connsiteX37" fmla="*/ 2460831 w 2500127"/>
              <a:gd name="connsiteY37" fmla="*/ 1208314 h 3450772"/>
              <a:gd name="connsiteX38" fmla="*/ 2427514 w 2500127"/>
              <a:gd name="connsiteY38" fmla="*/ 1257300 h 3450772"/>
              <a:gd name="connsiteX39" fmla="*/ 2462027 w 2500127"/>
              <a:gd name="connsiteY39" fmla="*/ 1420586 h 3450772"/>
              <a:gd name="connsiteX40" fmla="*/ 2383971 w 2500127"/>
              <a:gd name="connsiteY40" fmla="*/ 1404257 h 3450772"/>
              <a:gd name="connsiteX41" fmla="*/ 2373085 w 2500127"/>
              <a:gd name="connsiteY41" fmla="*/ 1415143 h 3450772"/>
              <a:gd name="connsiteX42" fmla="*/ 2362200 w 2500127"/>
              <a:gd name="connsiteY42" fmla="*/ 1447800 h 3450772"/>
              <a:gd name="connsiteX43" fmla="*/ 2258785 w 2500127"/>
              <a:gd name="connsiteY43" fmla="*/ 1562100 h 3450772"/>
              <a:gd name="connsiteX44" fmla="*/ 2275114 w 2500127"/>
              <a:gd name="connsiteY44" fmla="*/ 1594757 h 3450772"/>
              <a:gd name="connsiteX45" fmla="*/ 2247900 w 2500127"/>
              <a:gd name="connsiteY45" fmla="*/ 1627414 h 3450772"/>
              <a:gd name="connsiteX46" fmla="*/ 2247900 w 2500127"/>
              <a:gd name="connsiteY46" fmla="*/ 1676400 h 3450772"/>
              <a:gd name="connsiteX47" fmla="*/ 2215242 w 2500127"/>
              <a:gd name="connsiteY47" fmla="*/ 1692729 h 3450772"/>
              <a:gd name="connsiteX48" fmla="*/ 2209800 w 2500127"/>
              <a:gd name="connsiteY48" fmla="*/ 1741714 h 3450772"/>
              <a:gd name="connsiteX49" fmla="*/ 2198914 w 2500127"/>
              <a:gd name="connsiteY49" fmla="*/ 1763486 h 3450772"/>
              <a:gd name="connsiteX50" fmla="*/ 2106385 w 2500127"/>
              <a:gd name="connsiteY50" fmla="*/ 1763486 h 3450772"/>
              <a:gd name="connsiteX51" fmla="*/ 2046514 w 2500127"/>
              <a:gd name="connsiteY51" fmla="*/ 1779814 h 3450772"/>
              <a:gd name="connsiteX52" fmla="*/ 1943100 w 2500127"/>
              <a:gd name="connsiteY52" fmla="*/ 1714500 h 3450772"/>
              <a:gd name="connsiteX53" fmla="*/ 1845128 w 2500127"/>
              <a:gd name="connsiteY53" fmla="*/ 1714500 h 3450772"/>
              <a:gd name="connsiteX54" fmla="*/ 1823357 w 2500127"/>
              <a:gd name="connsiteY54" fmla="*/ 1845129 h 3450772"/>
              <a:gd name="connsiteX55" fmla="*/ 1768928 w 2500127"/>
              <a:gd name="connsiteY55" fmla="*/ 1888672 h 3450772"/>
              <a:gd name="connsiteX56" fmla="*/ 1763485 w 2500127"/>
              <a:gd name="connsiteY56" fmla="*/ 1937657 h 3450772"/>
              <a:gd name="connsiteX57" fmla="*/ 1714500 w 2500127"/>
              <a:gd name="connsiteY57" fmla="*/ 1959429 h 3450772"/>
              <a:gd name="connsiteX58" fmla="*/ 1621971 w 2500127"/>
              <a:gd name="connsiteY58" fmla="*/ 2073729 h 3450772"/>
              <a:gd name="connsiteX59" fmla="*/ 1589314 w 2500127"/>
              <a:gd name="connsiteY59" fmla="*/ 2100943 h 3450772"/>
              <a:gd name="connsiteX60" fmla="*/ 1616528 w 2500127"/>
              <a:gd name="connsiteY60" fmla="*/ 2220686 h 3450772"/>
              <a:gd name="connsiteX61" fmla="*/ 1529442 w 2500127"/>
              <a:gd name="connsiteY61" fmla="*/ 2253343 h 3450772"/>
              <a:gd name="connsiteX62" fmla="*/ 1534885 w 2500127"/>
              <a:gd name="connsiteY62" fmla="*/ 2280557 h 3450772"/>
              <a:gd name="connsiteX63" fmla="*/ 1524000 w 2500127"/>
              <a:gd name="connsiteY63" fmla="*/ 2291443 h 3450772"/>
              <a:gd name="connsiteX64" fmla="*/ 1556657 w 2500127"/>
              <a:gd name="connsiteY64" fmla="*/ 2307772 h 3450772"/>
              <a:gd name="connsiteX65" fmla="*/ 1507671 w 2500127"/>
              <a:gd name="connsiteY65" fmla="*/ 2383972 h 3450772"/>
              <a:gd name="connsiteX66" fmla="*/ 1524000 w 2500127"/>
              <a:gd name="connsiteY66" fmla="*/ 2416629 h 3450772"/>
              <a:gd name="connsiteX67" fmla="*/ 1485900 w 2500127"/>
              <a:gd name="connsiteY67" fmla="*/ 2411186 h 3450772"/>
              <a:gd name="connsiteX68" fmla="*/ 1442357 w 2500127"/>
              <a:gd name="connsiteY68" fmla="*/ 2481943 h 3450772"/>
              <a:gd name="connsiteX69" fmla="*/ 1382485 w 2500127"/>
              <a:gd name="connsiteY69" fmla="*/ 2492829 h 3450772"/>
              <a:gd name="connsiteX70" fmla="*/ 1295400 w 2500127"/>
              <a:gd name="connsiteY70" fmla="*/ 2471057 h 3450772"/>
              <a:gd name="connsiteX71" fmla="*/ 1246414 w 2500127"/>
              <a:gd name="connsiteY71" fmla="*/ 2503714 h 3450772"/>
              <a:gd name="connsiteX72" fmla="*/ 1208314 w 2500127"/>
              <a:gd name="connsiteY72" fmla="*/ 2509157 h 3450772"/>
              <a:gd name="connsiteX73" fmla="*/ 1132114 w 2500127"/>
              <a:gd name="connsiteY73" fmla="*/ 2509157 h 3450772"/>
              <a:gd name="connsiteX74" fmla="*/ 1121228 w 2500127"/>
              <a:gd name="connsiteY74" fmla="*/ 2503714 h 3450772"/>
              <a:gd name="connsiteX75" fmla="*/ 1104900 w 2500127"/>
              <a:gd name="connsiteY75" fmla="*/ 2541814 h 3450772"/>
              <a:gd name="connsiteX76" fmla="*/ 1066800 w 2500127"/>
              <a:gd name="connsiteY76" fmla="*/ 2530929 h 3450772"/>
              <a:gd name="connsiteX77" fmla="*/ 1034142 w 2500127"/>
              <a:gd name="connsiteY77" fmla="*/ 2585357 h 3450772"/>
              <a:gd name="connsiteX78" fmla="*/ 1012371 w 2500127"/>
              <a:gd name="connsiteY78" fmla="*/ 2547257 h 3450772"/>
              <a:gd name="connsiteX79" fmla="*/ 892628 w 2500127"/>
              <a:gd name="connsiteY79" fmla="*/ 2585357 h 3450772"/>
              <a:gd name="connsiteX80" fmla="*/ 887185 w 2500127"/>
              <a:gd name="connsiteY80" fmla="*/ 2590800 h 3450772"/>
              <a:gd name="connsiteX81" fmla="*/ 898071 w 2500127"/>
              <a:gd name="connsiteY81" fmla="*/ 2661557 h 3450772"/>
              <a:gd name="connsiteX82" fmla="*/ 838200 w 2500127"/>
              <a:gd name="connsiteY82" fmla="*/ 2786743 h 3450772"/>
              <a:gd name="connsiteX83" fmla="*/ 854528 w 2500127"/>
              <a:gd name="connsiteY83" fmla="*/ 2830286 h 3450772"/>
              <a:gd name="connsiteX84" fmla="*/ 936171 w 2500127"/>
              <a:gd name="connsiteY84" fmla="*/ 2824843 h 3450772"/>
              <a:gd name="connsiteX85" fmla="*/ 979714 w 2500127"/>
              <a:gd name="connsiteY85" fmla="*/ 2906486 h 3450772"/>
              <a:gd name="connsiteX86" fmla="*/ 985157 w 2500127"/>
              <a:gd name="connsiteY86" fmla="*/ 2911929 h 3450772"/>
              <a:gd name="connsiteX87" fmla="*/ 985157 w 2500127"/>
              <a:gd name="connsiteY87" fmla="*/ 2911929 h 3450772"/>
              <a:gd name="connsiteX88" fmla="*/ 1001485 w 2500127"/>
              <a:gd name="connsiteY88" fmla="*/ 2960914 h 3450772"/>
              <a:gd name="connsiteX89" fmla="*/ 1006928 w 2500127"/>
              <a:gd name="connsiteY89" fmla="*/ 3048000 h 3450772"/>
              <a:gd name="connsiteX90" fmla="*/ 979714 w 2500127"/>
              <a:gd name="connsiteY90" fmla="*/ 3053443 h 3450772"/>
              <a:gd name="connsiteX91" fmla="*/ 974271 w 2500127"/>
              <a:gd name="connsiteY91" fmla="*/ 3053443 h 3450772"/>
              <a:gd name="connsiteX92" fmla="*/ 985157 w 2500127"/>
              <a:gd name="connsiteY92" fmla="*/ 3086100 h 3450772"/>
              <a:gd name="connsiteX93" fmla="*/ 881742 w 2500127"/>
              <a:gd name="connsiteY93" fmla="*/ 3216729 h 3450772"/>
              <a:gd name="connsiteX94" fmla="*/ 892628 w 2500127"/>
              <a:gd name="connsiteY94" fmla="*/ 3260272 h 3450772"/>
              <a:gd name="connsiteX95" fmla="*/ 849085 w 2500127"/>
              <a:gd name="connsiteY95" fmla="*/ 3276600 h 3450772"/>
              <a:gd name="connsiteX96" fmla="*/ 827314 w 2500127"/>
              <a:gd name="connsiteY96" fmla="*/ 3320143 h 3450772"/>
              <a:gd name="connsiteX97" fmla="*/ 810985 w 2500127"/>
              <a:gd name="connsiteY97" fmla="*/ 3369129 h 3450772"/>
              <a:gd name="connsiteX98" fmla="*/ 805542 w 2500127"/>
              <a:gd name="connsiteY98" fmla="*/ 3407229 h 3450772"/>
              <a:gd name="connsiteX99" fmla="*/ 805542 w 2500127"/>
              <a:gd name="connsiteY99" fmla="*/ 3423557 h 3450772"/>
              <a:gd name="connsiteX100" fmla="*/ 800100 w 2500127"/>
              <a:gd name="connsiteY100" fmla="*/ 3418114 h 3450772"/>
              <a:gd name="connsiteX101" fmla="*/ 778328 w 2500127"/>
              <a:gd name="connsiteY101" fmla="*/ 3418114 h 3450772"/>
              <a:gd name="connsiteX102" fmla="*/ 740228 w 2500127"/>
              <a:gd name="connsiteY102" fmla="*/ 3445329 h 3450772"/>
              <a:gd name="connsiteX103" fmla="*/ 702128 w 2500127"/>
              <a:gd name="connsiteY103" fmla="*/ 3434443 h 3450772"/>
              <a:gd name="connsiteX104" fmla="*/ 702128 w 2500127"/>
              <a:gd name="connsiteY104" fmla="*/ 3434443 h 3450772"/>
              <a:gd name="connsiteX105" fmla="*/ 664028 w 2500127"/>
              <a:gd name="connsiteY105" fmla="*/ 3450772 h 3450772"/>
              <a:gd name="connsiteX106" fmla="*/ 571500 w 2500127"/>
              <a:gd name="connsiteY106" fmla="*/ 3380014 h 3450772"/>
              <a:gd name="connsiteX107" fmla="*/ 533400 w 2500127"/>
              <a:gd name="connsiteY107" fmla="*/ 3309257 h 3450772"/>
              <a:gd name="connsiteX108" fmla="*/ 462642 w 2500127"/>
              <a:gd name="connsiteY108" fmla="*/ 3303814 h 3450772"/>
              <a:gd name="connsiteX109" fmla="*/ 277585 w 2500127"/>
              <a:gd name="connsiteY109" fmla="*/ 3243943 h 3450772"/>
              <a:gd name="connsiteX110" fmla="*/ 266700 w 2500127"/>
              <a:gd name="connsiteY110" fmla="*/ 3194957 h 3450772"/>
              <a:gd name="connsiteX111" fmla="*/ 228600 w 2500127"/>
              <a:gd name="connsiteY111" fmla="*/ 3194957 h 3450772"/>
              <a:gd name="connsiteX112" fmla="*/ 223157 w 2500127"/>
              <a:gd name="connsiteY112" fmla="*/ 3216729 h 3450772"/>
              <a:gd name="connsiteX113" fmla="*/ 223157 w 2500127"/>
              <a:gd name="connsiteY113" fmla="*/ 3243943 h 3450772"/>
              <a:gd name="connsiteX114" fmla="*/ 190500 w 2500127"/>
              <a:gd name="connsiteY114" fmla="*/ 3233057 h 3450772"/>
              <a:gd name="connsiteX115" fmla="*/ 163285 w 2500127"/>
              <a:gd name="connsiteY115" fmla="*/ 3211286 h 3450772"/>
              <a:gd name="connsiteX116" fmla="*/ 152400 w 2500127"/>
              <a:gd name="connsiteY116" fmla="*/ 3194957 h 3450772"/>
              <a:gd name="connsiteX117" fmla="*/ 174171 w 2500127"/>
              <a:gd name="connsiteY117" fmla="*/ 3151414 h 3450772"/>
              <a:gd name="connsiteX118" fmla="*/ 201385 w 2500127"/>
              <a:gd name="connsiteY118" fmla="*/ 3102429 h 3450772"/>
              <a:gd name="connsiteX119" fmla="*/ 185057 w 2500127"/>
              <a:gd name="connsiteY119" fmla="*/ 3064329 h 3450772"/>
              <a:gd name="connsiteX120" fmla="*/ 185057 w 2500127"/>
              <a:gd name="connsiteY120" fmla="*/ 3042557 h 3450772"/>
              <a:gd name="connsiteX121" fmla="*/ 125185 w 2500127"/>
              <a:gd name="connsiteY121" fmla="*/ 3042557 h 3450772"/>
              <a:gd name="connsiteX122" fmla="*/ 103414 w 2500127"/>
              <a:gd name="connsiteY122" fmla="*/ 3031672 h 3450772"/>
              <a:gd name="connsiteX123" fmla="*/ 70757 w 2500127"/>
              <a:gd name="connsiteY123" fmla="*/ 3058886 h 3450772"/>
              <a:gd name="connsiteX124" fmla="*/ 65314 w 2500127"/>
              <a:gd name="connsiteY124" fmla="*/ 3020786 h 3450772"/>
              <a:gd name="connsiteX125" fmla="*/ 0 w 2500127"/>
              <a:gd name="connsiteY125" fmla="*/ 2982686 h 3450772"/>
              <a:gd name="connsiteX126" fmla="*/ 54428 w 2500127"/>
              <a:gd name="connsiteY126" fmla="*/ 2933700 h 3450772"/>
              <a:gd name="connsiteX127" fmla="*/ 179614 w 2500127"/>
              <a:gd name="connsiteY127" fmla="*/ 2770414 h 3450772"/>
              <a:gd name="connsiteX128" fmla="*/ 326571 w 2500127"/>
              <a:gd name="connsiteY128" fmla="*/ 2122714 h 3450772"/>
              <a:gd name="connsiteX129" fmla="*/ 315685 w 2500127"/>
              <a:gd name="connsiteY129" fmla="*/ 2046514 h 3450772"/>
              <a:gd name="connsiteX130" fmla="*/ 359228 w 2500127"/>
              <a:gd name="connsiteY130" fmla="*/ 1964872 h 3450772"/>
              <a:gd name="connsiteX131" fmla="*/ 435428 w 2500127"/>
              <a:gd name="connsiteY131" fmla="*/ 1970314 h 3450772"/>
              <a:gd name="connsiteX132" fmla="*/ 440871 w 2500127"/>
              <a:gd name="connsiteY132" fmla="*/ 1937657 h 3450772"/>
              <a:gd name="connsiteX133" fmla="*/ 391885 w 2500127"/>
              <a:gd name="connsiteY133" fmla="*/ 1883229 h 3450772"/>
              <a:gd name="connsiteX134" fmla="*/ 386442 w 2500127"/>
              <a:gd name="connsiteY134" fmla="*/ 1872343 h 3450772"/>
              <a:gd name="connsiteX135" fmla="*/ 326571 w 2500127"/>
              <a:gd name="connsiteY135" fmla="*/ 1948543 h 3450772"/>
              <a:gd name="connsiteX136" fmla="*/ 408214 w 2500127"/>
              <a:gd name="connsiteY136" fmla="*/ 1338943 h 3450772"/>
              <a:gd name="connsiteX137" fmla="*/ 446314 w 2500127"/>
              <a:gd name="connsiteY137" fmla="*/ 1251857 h 3450772"/>
              <a:gd name="connsiteX138" fmla="*/ 462642 w 2500127"/>
              <a:gd name="connsiteY138" fmla="*/ 1300843 h 3450772"/>
              <a:gd name="connsiteX139" fmla="*/ 582385 w 2500127"/>
              <a:gd name="connsiteY139" fmla="*/ 1409700 h 3450772"/>
              <a:gd name="connsiteX140" fmla="*/ 620485 w 2500127"/>
              <a:gd name="connsiteY140" fmla="*/ 1513114 h 3450772"/>
              <a:gd name="connsiteX141" fmla="*/ 653142 w 2500127"/>
              <a:gd name="connsiteY141" fmla="*/ 1464129 h 3450772"/>
              <a:gd name="connsiteX142" fmla="*/ 625928 w 2500127"/>
              <a:gd name="connsiteY142" fmla="*/ 1344386 h 3450772"/>
              <a:gd name="connsiteX143" fmla="*/ 484414 w 2500127"/>
              <a:gd name="connsiteY143" fmla="*/ 1197429 h 3450772"/>
              <a:gd name="connsiteX144" fmla="*/ 435428 w 2500127"/>
              <a:gd name="connsiteY144" fmla="*/ 1164772 h 3450772"/>
              <a:gd name="connsiteX145" fmla="*/ 381000 w 2500127"/>
              <a:gd name="connsiteY145" fmla="*/ 1137557 h 3450772"/>
              <a:gd name="connsiteX146" fmla="*/ 370114 w 2500127"/>
              <a:gd name="connsiteY146" fmla="*/ 1083129 h 3450772"/>
              <a:gd name="connsiteX147" fmla="*/ 424542 w 2500127"/>
              <a:gd name="connsiteY147" fmla="*/ 1050472 h 3450772"/>
              <a:gd name="connsiteX148" fmla="*/ 468085 w 2500127"/>
              <a:gd name="connsiteY148" fmla="*/ 968829 h 3450772"/>
              <a:gd name="connsiteX149" fmla="*/ 446314 w 2500127"/>
              <a:gd name="connsiteY149" fmla="*/ 892629 h 3450772"/>
              <a:gd name="connsiteX150" fmla="*/ 446314 w 2500127"/>
              <a:gd name="connsiteY150" fmla="*/ 892629 h 3450772"/>
              <a:gd name="connsiteX151" fmla="*/ 478971 w 2500127"/>
              <a:gd name="connsiteY151" fmla="*/ 881743 h 3450772"/>
              <a:gd name="connsiteX152" fmla="*/ 424542 w 2500127"/>
              <a:gd name="connsiteY152" fmla="*/ 789214 h 3450772"/>
              <a:gd name="connsiteX153" fmla="*/ 386442 w 2500127"/>
              <a:gd name="connsiteY153" fmla="*/ 778329 h 3450772"/>
              <a:gd name="connsiteX154" fmla="*/ 429985 w 2500127"/>
              <a:gd name="connsiteY154" fmla="*/ 685800 h 3450772"/>
              <a:gd name="connsiteX155" fmla="*/ 451757 w 2500127"/>
              <a:gd name="connsiteY155" fmla="*/ 658586 h 3450772"/>
              <a:gd name="connsiteX156" fmla="*/ 560614 w 2500127"/>
              <a:gd name="connsiteY156" fmla="*/ 620486 h 3450772"/>
              <a:gd name="connsiteX157" fmla="*/ 560614 w 2500127"/>
              <a:gd name="connsiteY157" fmla="*/ 620486 h 3450772"/>
              <a:gd name="connsiteX158" fmla="*/ 636814 w 2500127"/>
              <a:gd name="connsiteY158" fmla="*/ 647700 h 3450772"/>
              <a:gd name="connsiteX159" fmla="*/ 658585 w 2500127"/>
              <a:gd name="connsiteY159" fmla="*/ 674914 h 3450772"/>
              <a:gd name="connsiteX160" fmla="*/ 772885 w 2500127"/>
              <a:gd name="connsiteY160" fmla="*/ 615043 h 3450772"/>
              <a:gd name="connsiteX161" fmla="*/ 745671 w 2500127"/>
              <a:gd name="connsiteY161" fmla="*/ 582386 h 3450772"/>
              <a:gd name="connsiteX162" fmla="*/ 740228 w 2500127"/>
              <a:gd name="connsiteY162" fmla="*/ 506186 h 3450772"/>
              <a:gd name="connsiteX163" fmla="*/ 702128 w 2500127"/>
              <a:gd name="connsiteY163" fmla="*/ 353786 h 3450772"/>
              <a:gd name="connsiteX164" fmla="*/ 685800 w 2500127"/>
              <a:gd name="connsiteY164" fmla="*/ 277586 h 3450772"/>
              <a:gd name="connsiteX165" fmla="*/ 674914 w 2500127"/>
              <a:gd name="connsiteY165" fmla="*/ 244929 h 3450772"/>
              <a:gd name="connsiteX166" fmla="*/ 615042 w 2500127"/>
              <a:gd name="connsiteY166" fmla="*/ 179614 h 3450772"/>
              <a:gd name="connsiteX167" fmla="*/ 604157 w 2500127"/>
              <a:gd name="connsiteY167" fmla="*/ 136072 h 3450772"/>
              <a:gd name="connsiteX168" fmla="*/ 598714 w 2500127"/>
              <a:gd name="connsiteY168" fmla="*/ 130629 h 3450772"/>
              <a:gd name="connsiteX169" fmla="*/ 734785 w 2500127"/>
              <a:gd name="connsiteY169" fmla="*/ 125186 h 3450772"/>
              <a:gd name="connsiteX170" fmla="*/ 745671 w 2500127"/>
              <a:gd name="connsiteY170" fmla="*/ 125186 h 3450772"/>
              <a:gd name="connsiteX171" fmla="*/ 810985 w 2500127"/>
              <a:gd name="connsiteY171" fmla="*/ 59872 h 3450772"/>
              <a:gd name="connsiteX172" fmla="*/ 985157 w 2500127"/>
              <a:gd name="connsiteY172" fmla="*/ 43543 h 3450772"/>
              <a:gd name="connsiteX173" fmla="*/ 1017814 w 2500127"/>
              <a:gd name="connsiteY173" fmla="*/ 81643 h 3450772"/>
              <a:gd name="connsiteX174" fmla="*/ 1126671 w 2500127"/>
              <a:gd name="connsiteY174"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24100 w 2500127"/>
              <a:gd name="connsiteY29" fmla="*/ 658586 h 3450772"/>
              <a:gd name="connsiteX30" fmla="*/ 2427514 w 2500127"/>
              <a:gd name="connsiteY30" fmla="*/ 718457 h 3450772"/>
              <a:gd name="connsiteX31" fmla="*/ 2460171 w 2500127"/>
              <a:gd name="connsiteY31" fmla="*/ 821872 h 3450772"/>
              <a:gd name="connsiteX32" fmla="*/ 2460171 w 2500127"/>
              <a:gd name="connsiteY32" fmla="*/ 865414 h 3450772"/>
              <a:gd name="connsiteX33" fmla="*/ 2460171 w 2500127"/>
              <a:gd name="connsiteY33" fmla="*/ 887186 h 3450772"/>
              <a:gd name="connsiteX34" fmla="*/ 2500127 w 2500127"/>
              <a:gd name="connsiteY34" fmla="*/ 952500 h 3450772"/>
              <a:gd name="connsiteX35" fmla="*/ 2380384 w 2500127"/>
              <a:gd name="connsiteY35" fmla="*/ 1072244 h 3450772"/>
              <a:gd name="connsiteX36" fmla="*/ 2440256 w 2500127"/>
              <a:gd name="connsiteY36" fmla="*/ 1143000 h 3450772"/>
              <a:gd name="connsiteX37" fmla="*/ 2460831 w 2500127"/>
              <a:gd name="connsiteY37" fmla="*/ 1208314 h 3450772"/>
              <a:gd name="connsiteX38" fmla="*/ 2427514 w 2500127"/>
              <a:gd name="connsiteY38" fmla="*/ 1257300 h 3450772"/>
              <a:gd name="connsiteX39" fmla="*/ 2462027 w 2500127"/>
              <a:gd name="connsiteY39" fmla="*/ 1420586 h 3450772"/>
              <a:gd name="connsiteX40" fmla="*/ 2383971 w 2500127"/>
              <a:gd name="connsiteY40" fmla="*/ 1404257 h 3450772"/>
              <a:gd name="connsiteX41" fmla="*/ 2373085 w 2500127"/>
              <a:gd name="connsiteY41" fmla="*/ 1415143 h 3450772"/>
              <a:gd name="connsiteX42" fmla="*/ 2362200 w 2500127"/>
              <a:gd name="connsiteY42" fmla="*/ 1447800 h 3450772"/>
              <a:gd name="connsiteX43" fmla="*/ 2258785 w 2500127"/>
              <a:gd name="connsiteY43" fmla="*/ 1562100 h 3450772"/>
              <a:gd name="connsiteX44" fmla="*/ 2275114 w 2500127"/>
              <a:gd name="connsiteY44" fmla="*/ 1594757 h 3450772"/>
              <a:gd name="connsiteX45" fmla="*/ 2247900 w 2500127"/>
              <a:gd name="connsiteY45" fmla="*/ 1627414 h 3450772"/>
              <a:gd name="connsiteX46" fmla="*/ 2247900 w 2500127"/>
              <a:gd name="connsiteY46" fmla="*/ 1676400 h 3450772"/>
              <a:gd name="connsiteX47" fmla="*/ 2215242 w 2500127"/>
              <a:gd name="connsiteY47" fmla="*/ 1692729 h 3450772"/>
              <a:gd name="connsiteX48" fmla="*/ 2209800 w 2500127"/>
              <a:gd name="connsiteY48" fmla="*/ 1741714 h 3450772"/>
              <a:gd name="connsiteX49" fmla="*/ 2198914 w 2500127"/>
              <a:gd name="connsiteY49" fmla="*/ 1763486 h 3450772"/>
              <a:gd name="connsiteX50" fmla="*/ 2106385 w 2500127"/>
              <a:gd name="connsiteY50" fmla="*/ 1763486 h 3450772"/>
              <a:gd name="connsiteX51" fmla="*/ 2046514 w 2500127"/>
              <a:gd name="connsiteY51" fmla="*/ 1779814 h 3450772"/>
              <a:gd name="connsiteX52" fmla="*/ 1943100 w 2500127"/>
              <a:gd name="connsiteY52" fmla="*/ 1714500 h 3450772"/>
              <a:gd name="connsiteX53" fmla="*/ 1845128 w 2500127"/>
              <a:gd name="connsiteY53" fmla="*/ 1714500 h 3450772"/>
              <a:gd name="connsiteX54" fmla="*/ 1823357 w 2500127"/>
              <a:gd name="connsiteY54" fmla="*/ 1845129 h 3450772"/>
              <a:gd name="connsiteX55" fmla="*/ 1768928 w 2500127"/>
              <a:gd name="connsiteY55" fmla="*/ 1888672 h 3450772"/>
              <a:gd name="connsiteX56" fmla="*/ 1763485 w 2500127"/>
              <a:gd name="connsiteY56" fmla="*/ 1937657 h 3450772"/>
              <a:gd name="connsiteX57" fmla="*/ 1714500 w 2500127"/>
              <a:gd name="connsiteY57" fmla="*/ 1959429 h 3450772"/>
              <a:gd name="connsiteX58" fmla="*/ 1621971 w 2500127"/>
              <a:gd name="connsiteY58" fmla="*/ 2073729 h 3450772"/>
              <a:gd name="connsiteX59" fmla="*/ 1589314 w 2500127"/>
              <a:gd name="connsiteY59" fmla="*/ 2100943 h 3450772"/>
              <a:gd name="connsiteX60" fmla="*/ 1616528 w 2500127"/>
              <a:gd name="connsiteY60" fmla="*/ 2220686 h 3450772"/>
              <a:gd name="connsiteX61" fmla="*/ 1529442 w 2500127"/>
              <a:gd name="connsiteY61" fmla="*/ 2253343 h 3450772"/>
              <a:gd name="connsiteX62" fmla="*/ 1534885 w 2500127"/>
              <a:gd name="connsiteY62" fmla="*/ 2280557 h 3450772"/>
              <a:gd name="connsiteX63" fmla="*/ 1524000 w 2500127"/>
              <a:gd name="connsiteY63" fmla="*/ 2291443 h 3450772"/>
              <a:gd name="connsiteX64" fmla="*/ 1556657 w 2500127"/>
              <a:gd name="connsiteY64" fmla="*/ 2307772 h 3450772"/>
              <a:gd name="connsiteX65" fmla="*/ 1507671 w 2500127"/>
              <a:gd name="connsiteY65" fmla="*/ 2383972 h 3450772"/>
              <a:gd name="connsiteX66" fmla="*/ 1524000 w 2500127"/>
              <a:gd name="connsiteY66" fmla="*/ 2416629 h 3450772"/>
              <a:gd name="connsiteX67" fmla="*/ 1485900 w 2500127"/>
              <a:gd name="connsiteY67" fmla="*/ 2411186 h 3450772"/>
              <a:gd name="connsiteX68" fmla="*/ 1442357 w 2500127"/>
              <a:gd name="connsiteY68" fmla="*/ 2481943 h 3450772"/>
              <a:gd name="connsiteX69" fmla="*/ 1382485 w 2500127"/>
              <a:gd name="connsiteY69" fmla="*/ 2492829 h 3450772"/>
              <a:gd name="connsiteX70" fmla="*/ 1295400 w 2500127"/>
              <a:gd name="connsiteY70" fmla="*/ 2471057 h 3450772"/>
              <a:gd name="connsiteX71" fmla="*/ 1246414 w 2500127"/>
              <a:gd name="connsiteY71" fmla="*/ 2503714 h 3450772"/>
              <a:gd name="connsiteX72" fmla="*/ 1208314 w 2500127"/>
              <a:gd name="connsiteY72" fmla="*/ 2509157 h 3450772"/>
              <a:gd name="connsiteX73" fmla="*/ 1132114 w 2500127"/>
              <a:gd name="connsiteY73" fmla="*/ 2509157 h 3450772"/>
              <a:gd name="connsiteX74" fmla="*/ 1121228 w 2500127"/>
              <a:gd name="connsiteY74" fmla="*/ 2503714 h 3450772"/>
              <a:gd name="connsiteX75" fmla="*/ 1104900 w 2500127"/>
              <a:gd name="connsiteY75" fmla="*/ 2541814 h 3450772"/>
              <a:gd name="connsiteX76" fmla="*/ 1066800 w 2500127"/>
              <a:gd name="connsiteY76" fmla="*/ 2530929 h 3450772"/>
              <a:gd name="connsiteX77" fmla="*/ 1034142 w 2500127"/>
              <a:gd name="connsiteY77" fmla="*/ 2585357 h 3450772"/>
              <a:gd name="connsiteX78" fmla="*/ 1012371 w 2500127"/>
              <a:gd name="connsiteY78" fmla="*/ 2547257 h 3450772"/>
              <a:gd name="connsiteX79" fmla="*/ 892628 w 2500127"/>
              <a:gd name="connsiteY79" fmla="*/ 2585357 h 3450772"/>
              <a:gd name="connsiteX80" fmla="*/ 887185 w 2500127"/>
              <a:gd name="connsiteY80" fmla="*/ 2590800 h 3450772"/>
              <a:gd name="connsiteX81" fmla="*/ 898071 w 2500127"/>
              <a:gd name="connsiteY81" fmla="*/ 2661557 h 3450772"/>
              <a:gd name="connsiteX82" fmla="*/ 838200 w 2500127"/>
              <a:gd name="connsiteY82" fmla="*/ 2786743 h 3450772"/>
              <a:gd name="connsiteX83" fmla="*/ 854528 w 2500127"/>
              <a:gd name="connsiteY83" fmla="*/ 2830286 h 3450772"/>
              <a:gd name="connsiteX84" fmla="*/ 936171 w 2500127"/>
              <a:gd name="connsiteY84" fmla="*/ 2824843 h 3450772"/>
              <a:gd name="connsiteX85" fmla="*/ 979714 w 2500127"/>
              <a:gd name="connsiteY85" fmla="*/ 2906486 h 3450772"/>
              <a:gd name="connsiteX86" fmla="*/ 985157 w 2500127"/>
              <a:gd name="connsiteY86" fmla="*/ 2911929 h 3450772"/>
              <a:gd name="connsiteX87" fmla="*/ 985157 w 2500127"/>
              <a:gd name="connsiteY87" fmla="*/ 2911929 h 3450772"/>
              <a:gd name="connsiteX88" fmla="*/ 1001485 w 2500127"/>
              <a:gd name="connsiteY88" fmla="*/ 2960914 h 3450772"/>
              <a:gd name="connsiteX89" fmla="*/ 1006928 w 2500127"/>
              <a:gd name="connsiteY89" fmla="*/ 3048000 h 3450772"/>
              <a:gd name="connsiteX90" fmla="*/ 979714 w 2500127"/>
              <a:gd name="connsiteY90" fmla="*/ 3053443 h 3450772"/>
              <a:gd name="connsiteX91" fmla="*/ 974271 w 2500127"/>
              <a:gd name="connsiteY91" fmla="*/ 3053443 h 3450772"/>
              <a:gd name="connsiteX92" fmla="*/ 985157 w 2500127"/>
              <a:gd name="connsiteY92" fmla="*/ 3086100 h 3450772"/>
              <a:gd name="connsiteX93" fmla="*/ 881742 w 2500127"/>
              <a:gd name="connsiteY93" fmla="*/ 3216729 h 3450772"/>
              <a:gd name="connsiteX94" fmla="*/ 892628 w 2500127"/>
              <a:gd name="connsiteY94" fmla="*/ 3260272 h 3450772"/>
              <a:gd name="connsiteX95" fmla="*/ 849085 w 2500127"/>
              <a:gd name="connsiteY95" fmla="*/ 3276600 h 3450772"/>
              <a:gd name="connsiteX96" fmla="*/ 827314 w 2500127"/>
              <a:gd name="connsiteY96" fmla="*/ 3320143 h 3450772"/>
              <a:gd name="connsiteX97" fmla="*/ 810985 w 2500127"/>
              <a:gd name="connsiteY97" fmla="*/ 3369129 h 3450772"/>
              <a:gd name="connsiteX98" fmla="*/ 805542 w 2500127"/>
              <a:gd name="connsiteY98" fmla="*/ 3407229 h 3450772"/>
              <a:gd name="connsiteX99" fmla="*/ 805542 w 2500127"/>
              <a:gd name="connsiteY99" fmla="*/ 3423557 h 3450772"/>
              <a:gd name="connsiteX100" fmla="*/ 800100 w 2500127"/>
              <a:gd name="connsiteY100" fmla="*/ 3418114 h 3450772"/>
              <a:gd name="connsiteX101" fmla="*/ 778328 w 2500127"/>
              <a:gd name="connsiteY101" fmla="*/ 3418114 h 3450772"/>
              <a:gd name="connsiteX102" fmla="*/ 740228 w 2500127"/>
              <a:gd name="connsiteY102" fmla="*/ 3445329 h 3450772"/>
              <a:gd name="connsiteX103" fmla="*/ 702128 w 2500127"/>
              <a:gd name="connsiteY103" fmla="*/ 3434443 h 3450772"/>
              <a:gd name="connsiteX104" fmla="*/ 702128 w 2500127"/>
              <a:gd name="connsiteY104" fmla="*/ 3434443 h 3450772"/>
              <a:gd name="connsiteX105" fmla="*/ 664028 w 2500127"/>
              <a:gd name="connsiteY105" fmla="*/ 3450772 h 3450772"/>
              <a:gd name="connsiteX106" fmla="*/ 571500 w 2500127"/>
              <a:gd name="connsiteY106" fmla="*/ 3380014 h 3450772"/>
              <a:gd name="connsiteX107" fmla="*/ 533400 w 2500127"/>
              <a:gd name="connsiteY107" fmla="*/ 3309257 h 3450772"/>
              <a:gd name="connsiteX108" fmla="*/ 462642 w 2500127"/>
              <a:gd name="connsiteY108" fmla="*/ 3303814 h 3450772"/>
              <a:gd name="connsiteX109" fmla="*/ 277585 w 2500127"/>
              <a:gd name="connsiteY109" fmla="*/ 3243943 h 3450772"/>
              <a:gd name="connsiteX110" fmla="*/ 266700 w 2500127"/>
              <a:gd name="connsiteY110" fmla="*/ 3194957 h 3450772"/>
              <a:gd name="connsiteX111" fmla="*/ 228600 w 2500127"/>
              <a:gd name="connsiteY111" fmla="*/ 3194957 h 3450772"/>
              <a:gd name="connsiteX112" fmla="*/ 223157 w 2500127"/>
              <a:gd name="connsiteY112" fmla="*/ 3216729 h 3450772"/>
              <a:gd name="connsiteX113" fmla="*/ 223157 w 2500127"/>
              <a:gd name="connsiteY113" fmla="*/ 3243943 h 3450772"/>
              <a:gd name="connsiteX114" fmla="*/ 190500 w 2500127"/>
              <a:gd name="connsiteY114" fmla="*/ 3233057 h 3450772"/>
              <a:gd name="connsiteX115" fmla="*/ 163285 w 2500127"/>
              <a:gd name="connsiteY115" fmla="*/ 3211286 h 3450772"/>
              <a:gd name="connsiteX116" fmla="*/ 152400 w 2500127"/>
              <a:gd name="connsiteY116" fmla="*/ 3194957 h 3450772"/>
              <a:gd name="connsiteX117" fmla="*/ 174171 w 2500127"/>
              <a:gd name="connsiteY117" fmla="*/ 3151414 h 3450772"/>
              <a:gd name="connsiteX118" fmla="*/ 201385 w 2500127"/>
              <a:gd name="connsiteY118" fmla="*/ 3102429 h 3450772"/>
              <a:gd name="connsiteX119" fmla="*/ 185057 w 2500127"/>
              <a:gd name="connsiteY119" fmla="*/ 3064329 h 3450772"/>
              <a:gd name="connsiteX120" fmla="*/ 185057 w 2500127"/>
              <a:gd name="connsiteY120" fmla="*/ 3042557 h 3450772"/>
              <a:gd name="connsiteX121" fmla="*/ 125185 w 2500127"/>
              <a:gd name="connsiteY121" fmla="*/ 3042557 h 3450772"/>
              <a:gd name="connsiteX122" fmla="*/ 103414 w 2500127"/>
              <a:gd name="connsiteY122" fmla="*/ 3031672 h 3450772"/>
              <a:gd name="connsiteX123" fmla="*/ 70757 w 2500127"/>
              <a:gd name="connsiteY123" fmla="*/ 3058886 h 3450772"/>
              <a:gd name="connsiteX124" fmla="*/ 65314 w 2500127"/>
              <a:gd name="connsiteY124" fmla="*/ 3020786 h 3450772"/>
              <a:gd name="connsiteX125" fmla="*/ 0 w 2500127"/>
              <a:gd name="connsiteY125" fmla="*/ 2982686 h 3450772"/>
              <a:gd name="connsiteX126" fmla="*/ 54428 w 2500127"/>
              <a:gd name="connsiteY126" fmla="*/ 2933700 h 3450772"/>
              <a:gd name="connsiteX127" fmla="*/ 179614 w 2500127"/>
              <a:gd name="connsiteY127" fmla="*/ 2770414 h 3450772"/>
              <a:gd name="connsiteX128" fmla="*/ 326571 w 2500127"/>
              <a:gd name="connsiteY128" fmla="*/ 2122714 h 3450772"/>
              <a:gd name="connsiteX129" fmla="*/ 315685 w 2500127"/>
              <a:gd name="connsiteY129" fmla="*/ 2046514 h 3450772"/>
              <a:gd name="connsiteX130" fmla="*/ 359228 w 2500127"/>
              <a:gd name="connsiteY130" fmla="*/ 1964872 h 3450772"/>
              <a:gd name="connsiteX131" fmla="*/ 435428 w 2500127"/>
              <a:gd name="connsiteY131" fmla="*/ 1970314 h 3450772"/>
              <a:gd name="connsiteX132" fmla="*/ 440871 w 2500127"/>
              <a:gd name="connsiteY132" fmla="*/ 1937657 h 3450772"/>
              <a:gd name="connsiteX133" fmla="*/ 391885 w 2500127"/>
              <a:gd name="connsiteY133" fmla="*/ 1883229 h 3450772"/>
              <a:gd name="connsiteX134" fmla="*/ 386442 w 2500127"/>
              <a:gd name="connsiteY134" fmla="*/ 1872343 h 3450772"/>
              <a:gd name="connsiteX135" fmla="*/ 326571 w 2500127"/>
              <a:gd name="connsiteY135" fmla="*/ 1948543 h 3450772"/>
              <a:gd name="connsiteX136" fmla="*/ 408214 w 2500127"/>
              <a:gd name="connsiteY136" fmla="*/ 1338943 h 3450772"/>
              <a:gd name="connsiteX137" fmla="*/ 446314 w 2500127"/>
              <a:gd name="connsiteY137" fmla="*/ 1251857 h 3450772"/>
              <a:gd name="connsiteX138" fmla="*/ 462642 w 2500127"/>
              <a:gd name="connsiteY138" fmla="*/ 1300843 h 3450772"/>
              <a:gd name="connsiteX139" fmla="*/ 582385 w 2500127"/>
              <a:gd name="connsiteY139" fmla="*/ 1409700 h 3450772"/>
              <a:gd name="connsiteX140" fmla="*/ 620485 w 2500127"/>
              <a:gd name="connsiteY140" fmla="*/ 1513114 h 3450772"/>
              <a:gd name="connsiteX141" fmla="*/ 653142 w 2500127"/>
              <a:gd name="connsiteY141" fmla="*/ 1464129 h 3450772"/>
              <a:gd name="connsiteX142" fmla="*/ 625928 w 2500127"/>
              <a:gd name="connsiteY142" fmla="*/ 1344386 h 3450772"/>
              <a:gd name="connsiteX143" fmla="*/ 484414 w 2500127"/>
              <a:gd name="connsiteY143" fmla="*/ 1197429 h 3450772"/>
              <a:gd name="connsiteX144" fmla="*/ 435428 w 2500127"/>
              <a:gd name="connsiteY144" fmla="*/ 1164772 h 3450772"/>
              <a:gd name="connsiteX145" fmla="*/ 381000 w 2500127"/>
              <a:gd name="connsiteY145" fmla="*/ 1137557 h 3450772"/>
              <a:gd name="connsiteX146" fmla="*/ 370114 w 2500127"/>
              <a:gd name="connsiteY146" fmla="*/ 1083129 h 3450772"/>
              <a:gd name="connsiteX147" fmla="*/ 424542 w 2500127"/>
              <a:gd name="connsiteY147" fmla="*/ 1050472 h 3450772"/>
              <a:gd name="connsiteX148" fmla="*/ 468085 w 2500127"/>
              <a:gd name="connsiteY148" fmla="*/ 968829 h 3450772"/>
              <a:gd name="connsiteX149" fmla="*/ 446314 w 2500127"/>
              <a:gd name="connsiteY149" fmla="*/ 892629 h 3450772"/>
              <a:gd name="connsiteX150" fmla="*/ 446314 w 2500127"/>
              <a:gd name="connsiteY150" fmla="*/ 892629 h 3450772"/>
              <a:gd name="connsiteX151" fmla="*/ 478971 w 2500127"/>
              <a:gd name="connsiteY151" fmla="*/ 881743 h 3450772"/>
              <a:gd name="connsiteX152" fmla="*/ 424542 w 2500127"/>
              <a:gd name="connsiteY152" fmla="*/ 789214 h 3450772"/>
              <a:gd name="connsiteX153" fmla="*/ 386442 w 2500127"/>
              <a:gd name="connsiteY153" fmla="*/ 778329 h 3450772"/>
              <a:gd name="connsiteX154" fmla="*/ 429985 w 2500127"/>
              <a:gd name="connsiteY154" fmla="*/ 685800 h 3450772"/>
              <a:gd name="connsiteX155" fmla="*/ 451757 w 2500127"/>
              <a:gd name="connsiteY155" fmla="*/ 658586 h 3450772"/>
              <a:gd name="connsiteX156" fmla="*/ 560614 w 2500127"/>
              <a:gd name="connsiteY156" fmla="*/ 620486 h 3450772"/>
              <a:gd name="connsiteX157" fmla="*/ 560614 w 2500127"/>
              <a:gd name="connsiteY157" fmla="*/ 620486 h 3450772"/>
              <a:gd name="connsiteX158" fmla="*/ 636814 w 2500127"/>
              <a:gd name="connsiteY158" fmla="*/ 647700 h 3450772"/>
              <a:gd name="connsiteX159" fmla="*/ 658585 w 2500127"/>
              <a:gd name="connsiteY159" fmla="*/ 674914 h 3450772"/>
              <a:gd name="connsiteX160" fmla="*/ 772885 w 2500127"/>
              <a:gd name="connsiteY160" fmla="*/ 615043 h 3450772"/>
              <a:gd name="connsiteX161" fmla="*/ 745671 w 2500127"/>
              <a:gd name="connsiteY161" fmla="*/ 582386 h 3450772"/>
              <a:gd name="connsiteX162" fmla="*/ 740228 w 2500127"/>
              <a:gd name="connsiteY162" fmla="*/ 506186 h 3450772"/>
              <a:gd name="connsiteX163" fmla="*/ 702128 w 2500127"/>
              <a:gd name="connsiteY163" fmla="*/ 353786 h 3450772"/>
              <a:gd name="connsiteX164" fmla="*/ 685800 w 2500127"/>
              <a:gd name="connsiteY164" fmla="*/ 277586 h 3450772"/>
              <a:gd name="connsiteX165" fmla="*/ 674914 w 2500127"/>
              <a:gd name="connsiteY165" fmla="*/ 244929 h 3450772"/>
              <a:gd name="connsiteX166" fmla="*/ 615042 w 2500127"/>
              <a:gd name="connsiteY166" fmla="*/ 179614 h 3450772"/>
              <a:gd name="connsiteX167" fmla="*/ 604157 w 2500127"/>
              <a:gd name="connsiteY167" fmla="*/ 136072 h 3450772"/>
              <a:gd name="connsiteX168" fmla="*/ 598714 w 2500127"/>
              <a:gd name="connsiteY168" fmla="*/ 130629 h 3450772"/>
              <a:gd name="connsiteX169" fmla="*/ 734785 w 2500127"/>
              <a:gd name="connsiteY169" fmla="*/ 125186 h 3450772"/>
              <a:gd name="connsiteX170" fmla="*/ 745671 w 2500127"/>
              <a:gd name="connsiteY170" fmla="*/ 125186 h 3450772"/>
              <a:gd name="connsiteX171" fmla="*/ 810985 w 2500127"/>
              <a:gd name="connsiteY171" fmla="*/ 59872 h 3450772"/>
              <a:gd name="connsiteX172" fmla="*/ 985157 w 2500127"/>
              <a:gd name="connsiteY172" fmla="*/ 43543 h 3450772"/>
              <a:gd name="connsiteX173" fmla="*/ 1017814 w 2500127"/>
              <a:gd name="connsiteY173" fmla="*/ 81643 h 3450772"/>
              <a:gd name="connsiteX174" fmla="*/ 1126671 w 2500127"/>
              <a:gd name="connsiteY174"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24100 w 2500127"/>
              <a:gd name="connsiteY29" fmla="*/ 658586 h 3450772"/>
              <a:gd name="connsiteX30" fmla="*/ 2427514 w 2500127"/>
              <a:gd name="connsiteY30" fmla="*/ 718457 h 3450772"/>
              <a:gd name="connsiteX31" fmla="*/ 2460171 w 2500127"/>
              <a:gd name="connsiteY31" fmla="*/ 821872 h 3450772"/>
              <a:gd name="connsiteX32" fmla="*/ 2460171 w 2500127"/>
              <a:gd name="connsiteY32" fmla="*/ 865414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47900 w 2500127"/>
              <a:gd name="connsiteY44" fmla="*/ 1627414 h 3450772"/>
              <a:gd name="connsiteX45" fmla="*/ 2247900 w 2500127"/>
              <a:gd name="connsiteY45" fmla="*/ 1676400 h 3450772"/>
              <a:gd name="connsiteX46" fmla="*/ 2215242 w 2500127"/>
              <a:gd name="connsiteY46" fmla="*/ 1692729 h 3450772"/>
              <a:gd name="connsiteX47" fmla="*/ 2209800 w 2500127"/>
              <a:gd name="connsiteY47" fmla="*/ 1741714 h 3450772"/>
              <a:gd name="connsiteX48" fmla="*/ 2198914 w 2500127"/>
              <a:gd name="connsiteY48" fmla="*/ 1763486 h 3450772"/>
              <a:gd name="connsiteX49" fmla="*/ 2106385 w 2500127"/>
              <a:gd name="connsiteY49" fmla="*/ 1763486 h 3450772"/>
              <a:gd name="connsiteX50" fmla="*/ 2046514 w 2500127"/>
              <a:gd name="connsiteY50" fmla="*/ 1779814 h 3450772"/>
              <a:gd name="connsiteX51" fmla="*/ 1943100 w 2500127"/>
              <a:gd name="connsiteY51" fmla="*/ 1714500 h 3450772"/>
              <a:gd name="connsiteX52" fmla="*/ 1845128 w 2500127"/>
              <a:gd name="connsiteY52" fmla="*/ 1714500 h 3450772"/>
              <a:gd name="connsiteX53" fmla="*/ 1823357 w 2500127"/>
              <a:gd name="connsiteY53" fmla="*/ 1845129 h 3450772"/>
              <a:gd name="connsiteX54" fmla="*/ 1768928 w 2500127"/>
              <a:gd name="connsiteY54" fmla="*/ 1888672 h 3450772"/>
              <a:gd name="connsiteX55" fmla="*/ 1763485 w 2500127"/>
              <a:gd name="connsiteY55" fmla="*/ 1937657 h 3450772"/>
              <a:gd name="connsiteX56" fmla="*/ 1714500 w 2500127"/>
              <a:gd name="connsiteY56" fmla="*/ 1959429 h 3450772"/>
              <a:gd name="connsiteX57" fmla="*/ 1621971 w 2500127"/>
              <a:gd name="connsiteY57" fmla="*/ 2073729 h 3450772"/>
              <a:gd name="connsiteX58" fmla="*/ 1589314 w 2500127"/>
              <a:gd name="connsiteY58" fmla="*/ 2100943 h 3450772"/>
              <a:gd name="connsiteX59" fmla="*/ 1616528 w 2500127"/>
              <a:gd name="connsiteY59" fmla="*/ 2220686 h 3450772"/>
              <a:gd name="connsiteX60" fmla="*/ 1529442 w 2500127"/>
              <a:gd name="connsiteY60" fmla="*/ 2253343 h 3450772"/>
              <a:gd name="connsiteX61" fmla="*/ 1534885 w 2500127"/>
              <a:gd name="connsiteY61" fmla="*/ 2280557 h 3450772"/>
              <a:gd name="connsiteX62" fmla="*/ 1524000 w 2500127"/>
              <a:gd name="connsiteY62" fmla="*/ 2291443 h 3450772"/>
              <a:gd name="connsiteX63" fmla="*/ 1556657 w 2500127"/>
              <a:gd name="connsiteY63" fmla="*/ 2307772 h 3450772"/>
              <a:gd name="connsiteX64" fmla="*/ 1507671 w 2500127"/>
              <a:gd name="connsiteY64" fmla="*/ 2383972 h 3450772"/>
              <a:gd name="connsiteX65" fmla="*/ 1524000 w 2500127"/>
              <a:gd name="connsiteY65" fmla="*/ 2416629 h 3450772"/>
              <a:gd name="connsiteX66" fmla="*/ 1485900 w 2500127"/>
              <a:gd name="connsiteY66" fmla="*/ 2411186 h 3450772"/>
              <a:gd name="connsiteX67" fmla="*/ 1442357 w 2500127"/>
              <a:gd name="connsiteY67" fmla="*/ 2481943 h 3450772"/>
              <a:gd name="connsiteX68" fmla="*/ 1382485 w 2500127"/>
              <a:gd name="connsiteY68" fmla="*/ 2492829 h 3450772"/>
              <a:gd name="connsiteX69" fmla="*/ 1295400 w 2500127"/>
              <a:gd name="connsiteY69" fmla="*/ 2471057 h 3450772"/>
              <a:gd name="connsiteX70" fmla="*/ 1246414 w 2500127"/>
              <a:gd name="connsiteY70" fmla="*/ 2503714 h 3450772"/>
              <a:gd name="connsiteX71" fmla="*/ 1208314 w 2500127"/>
              <a:gd name="connsiteY71" fmla="*/ 2509157 h 3450772"/>
              <a:gd name="connsiteX72" fmla="*/ 1132114 w 2500127"/>
              <a:gd name="connsiteY72" fmla="*/ 2509157 h 3450772"/>
              <a:gd name="connsiteX73" fmla="*/ 1121228 w 2500127"/>
              <a:gd name="connsiteY73" fmla="*/ 2503714 h 3450772"/>
              <a:gd name="connsiteX74" fmla="*/ 1104900 w 2500127"/>
              <a:gd name="connsiteY74" fmla="*/ 2541814 h 3450772"/>
              <a:gd name="connsiteX75" fmla="*/ 1066800 w 2500127"/>
              <a:gd name="connsiteY75" fmla="*/ 2530929 h 3450772"/>
              <a:gd name="connsiteX76" fmla="*/ 1034142 w 2500127"/>
              <a:gd name="connsiteY76" fmla="*/ 2585357 h 3450772"/>
              <a:gd name="connsiteX77" fmla="*/ 1012371 w 2500127"/>
              <a:gd name="connsiteY77" fmla="*/ 2547257 h 3450772"/>
              <a:gd name="connsiteX78" fmla="*/ 892628 w 2500127"/>
              <a:gd name="connsiteY78" fmla="*/ 2585357 h 3450772"/>
              <a:gd name="connsiteX79" fmla="*/ 887185 w 2500127"/>
              <a:gd name="connsiteY79" fmla="*/ 2590800 h 3450772"/>
              <a:gd name="connsiteX80" fmla="*/ 898071 w 2500127"/>
              <a:gd name="connsiteY80" fmla="*/ 2661557 h 3450772"/>
              <a:gd name="connsiteX81" fmla="*/ 838200 w 2500127"/>
              <a:gd name="connsiteY81" fmla="*/ 2786743 h 3450772"/>
              <a:gd name="connsiteX82" fmla="*/ 854528 w 2500127"/>
              <a:gd name="connsiteY82" fmla="*/ 2830286 h 3450772"/>
              <a:gd name="connsiteX83" fmla="*/ 936171 w 2500127"/>
              <a:gd name="connsiteY83" fmla="*/ 2824843 h 3450772"/>
              <a:gd name="connsiteX84" fmla="*/ 979714 w 2500127"/>
              <a:gd name="connsiteY84" fmla="*/ 2906486 h 3450772"/>
              <a:gd name="connsiteX85" fmla="*/ 985157 w 2500127"/>
              <a:gd name="connsiteY85" fmla="*/ 2911929 h 3450772"/>
              <a:gd name="connsiteX86" fmla="*/ 985157 w 2500127"/>
              <a:gd name="connsiteY86" fmla="*/ 2911929 h 3450772"/>
              <a:gd name="connsiteX87" fmla="*/ 1001485 w 2500127"/>
              <a:gd name="connsiteY87" fmla="*/ 2960914 h 3450772"/>
              <a:gd name="connsiteX88" fmla="*/ 1006928 w 2500127"/>
              <a:gd name="connsiteY88" fmla="*/ 3048000 h 3450772"/>
              <a:gd name="connsiteX89" fmla="*/ 979714 w 2500127"/>
              <a:gd name="connsiteY89" fmla="*/ 3053443 h 3450772"/>
              <a:gd name="connsiteX90" fmla="*/ 974271 w 2500127"/>
              <a:gd name="connsiteY90" fmla="*/ 3053443 h 3450772"/>
              <a:gd name="connsiteX91" fmla="*/ 985157 w 2500127"/>
              <a:gd name="connsiteY91" fmla="*/ 3086100 h 3450772"/>
              <a:gd name="connsiteX92" fmla="*/ 881742 w 2500127"/>
              <a:gd name="connsiteY92" fmla="*/ 3216729 h 3450772"/>
              <a:gd name="connsiteX93" fmla="*/ 892628 w 2500127"/>
              <a:gd name="connsiteY93" fmla="*/ 3260272 h 3450772"/>
              <a:gd name="connsiteX94" fmla="*/ 849085 w 2500127"/>
              <a:gd name="connsiteY94" fmla="*/ 3276600 h 3450772"/>
              <a:gd name="connsiteX95" fmla="*/ 827314 w 2500127"/>
              <a:gd name="connsiteY95" fmla="*/ 3320143 h 3450772"/>
              <a:gd name="connsiteX96" fmla="*/ 810985 w 2500127"/>
              <a:gd name="connsiteY96" fmla="*/ 3369129 h 3450772"/>
              <a:gd name="connsiteX97" fmla="*/ 805542 w 2500127"/>
              <a:gd name="connsiteY97" fmla="*/ 3407229 h 3450772"/>
              <a:gd name="connsiteX98" fmla="*/ 805542 w 2500127"/>
              <a:gd name="connsiteY98" fmla="*/ 3423557 h 3450772"/>
              <a:gd name="connsiteX99" fmla="*/ 800100 w 2500127"/>
              <a:gd name="connsiteY99" fmla="*/ 3418114 h 3450772"/>
              <a:gd name="connsiteX100" fmla="*/ 778328 w 2500127"/>
              <a:gd name="connsiteY100" fmla="*/ 3418114 h 3450772"/>
              <a:gd name="connsiteX101" fmla="*/ 740228 w 2500127"/>
              <a:gd name="connsiteY101" fmla="*/ 3445329 h 3450772"/>
              <a:gd name="connsiteX102" fmla="*/ 702128 w 2500127"/>
              <a:gd name="connsiteY102" fmla="*/ 3434443 h 3450772"/>
              <a:gd name="connsiteX103" fmla="*/ 702128 w 2500127"/>
              <a:gd name="connsiteY103" fmla="*/ 3434443 h 3450772"/>
              <a:gd name="connsiteX104" fmla="*/ 664028 w 2500127"/>
              <a:gd name="connsiteY104" fmla="*/ 3450772 h 3450772"/>
              <a:gd name="connsiteX105" fmla="*/ 571500 w 2500127"/>
              <a:gd name="connsiteY105" fmla="*/ 3380014 h 3450772"/>
              <a:gd name="connsiteX106" fmla="*/ 533400 w 2500127"/>
              <a:gd name="connsiteY106" fmla="*/ 3309257 h 3450772"/>
              <a:gd name="connsiteX107" fmla="*/ 462642 w 2500127"/>
              <a:gd name="connsiteY107" fmla="*/ 3303814 h 3450772"/>
              <a:gd name="connsiteX108" fmla="*/ 277585 w 2500127"/>
              <a:gd name="connsiteY108" fmla="*/ 3243943 h 3450772"/>
              <a:gd name="connsiteX109" fmla="*/ 266700 w 2500127"/>
              <a:gd name="connsiteY109" fmla="*/ 3194957 h 3450772"/>
              <a:gd name="connsiteX110" fmla="*/ 228600 w 2500127"/>
              <a:gd name="connsiteY110" fmla="*/ 3194957 h 3450772"/>
              <a:gd name="connsiteX111" fmla="*/ 223157 w 2500127"/>
              <a:gd name="connsiteY111" fmla="*/ 3216729 h 3450772"/>
              <a:gd name="connsiteX112" fmla="*/ 223157 w 2500127"/>
              <a:gd name="connsiteY112" fmla="*/ 3243943 h 3450772"/>
              <a:gd name="connsiteX113" fmla="*/ 190500 w 2500127"/>
              <a:gd name="connsiteY113" fmla="*/ 3233057 h 3450772"/>
              <a:gd name="connsiteX114" fmla="*/ 163285 w 2500127"/>
              <a:gd name="connsiteY114" fmla="*/ 3211286 h 3450772"/>
              <a:gd name="connsiteX115" fmla="*/ 152400 w 2500127"/>
              <a:gd name="connsiteY115" fmla="*/ 3194957 h 3450772"/>
              <a:gd name="connsiteX116" fmla="*/ 174171 w 2500127"/>
              <a:gd name="connsiteY116" fmla="*/ 3151414 h 3450772"/>
              <a:gd name="connsiteX117" fmla="*/ 201385 w 2500127"/>
              <a:gd name="connsiteY117" fmla="*/ 3102429 h 3450772"/>
              <a:gd name="connsiteX118" fmla="*/ 185057 w 2500127"/>
              <a:gd name="connsiteY118" fmla="*/ 3064329 h 3450772"/>
              <a:gd name="connsiteX119" fmla="*/ 185057 w 2500127"/>
              <a:gd name="connsiteY119" fmla="*/ 3042557 h 3450772"/>
              <a:gd name="connsiteX120" fmla="*/ 125185 w 2500127"/>
              <a:gd name="connsiteY120" fmla="*/ 3042557 h 3450772"/>
              <a:gd name="connsiteX121" fmla="*/ 103414 w 2500127"/>
              <a:gd name="connsiteY121" fmla="*/ 3031672 h 3450772"/>
              <a:gd name="connsiteX122" fmla="*/ 70757 w 2500127"/>
              <a:gd name="connsiteY122" fmla="*/ 3058886 h 3450772"/>
              <a:gd name="connsiteX123" fmla="*/ 65314 w 2500127"/>
              <a:gd name="connsiteY123" fmla="*/ 3020786 h 3450772"/>
              <a:gd name="connsiteX124" fmla="*/ 0 w 2500127"/>
              <a:gd name="connsiteY124" fmla="*/ 2982686 h 3450772"/>
              <a:gd name="connsiteX125" fmla="*/ 54428 w 2500127"/>
              <a:gd name="connsiteY125" fmla="*/ 2933700 h 3450772"/>
              <a:gd name="connsiteX126" fmla="*/ 179614 w 2500127"/>
              <a:gd name="connsiteY126" fmla="*/ 2770414 h 3450772"/>
              <a:gd name="connsiteX127" fmla="*/ 326571 w 2500127"/>
              <a:gd name="connsiteY127" fmla="*/ 2122714 h 3450772"/>
              <a:gd name="connsiteX128" fmla="*/ 315685 w 2500127"/>
              <a:gd name="connsiteY128" fmla="*/ 2046514 h 3450772"/>
              <a:gd name="connsiteX129" fmla="*/ 359228 w 2500127"/>
              <a:gd name="connsiteY129" fmla="*/ 1964872 h 3450772"/>
              <a:gd name="connsiteX130" fmla="*/ 435428 w 2500127"/>
              <a:gd name="connsiteY130" fmla="*/ 1970314 h 3450772"/>
              <a:gd name="connsiteX131" fmla="*/ 440871 w 2500127"/>
              <a:gd name="connsiteY131" fmla="*/ 1937657 h 3450772"/>
              <a:gd name="connsiteX132" fmla="*/ 391885 w 2500127"/>
              <a:gd name="connsiteY132" fmla="*/ 1883229 h 3450772"/>
              <a:gd name="connsiteX133" fmla="*/ 386442 w 2500127"/>
              <a:gd name="connsiteY133" fmla="*/ 1872343 h 3450772"/>
              <a:gd name="connsiteX134" fmla="*/ 326571 w 2500127"/>
              <a:gd name="connsiteY134" fmla="*/ 1948543 h 3450772"/>
              <a:gd name="connsiteX135" fmla="*/ 408214 w 2500127"/>
              <a:gd name="connsiteY135" fmla="*/ 1338943 h 3450772"/>
              <a:gd name="connsiteX136" fmla="*/ 446314 w 2500127"/>
              <a:gd name="connsiteY136" fmla="*/ 1251857 h 3450772"/>
              <a:gd name="connsiteX137" fmla="*/ 462642 w 2500127"/>
              <a:gd name="connsiteY137" fmla="*/ 1300843 h 3450772"/>
              <a:gd name="connsiteX138" fmla="*/ 582385 w 2500127"/>
              <a:gd name="connsiteY138" fmla="*/ 1409700 h 3450772"/>
              <a:gd name="connsiteX139" fmla="*/ 620485 w 2500127"/>
              <a:gd name="connsiteY139" fmla="*/ 1513114 h 3450772"/>
              <a:gd name="connsiteX140" fmla="*/ 653142 w 2500127"/>
              <a:gd name="connsiteY140" fmla="*/ 1464129 h 3450772"/>
              <a:gd name="connsiteX141" fmla="*/ 625928 w 2500127"/>
              <a:gd name="connsiteY141" fmla="*/ 1344386 h 3450772"/>
              <a:gd name="connsiteX142" fmla="*/ 484414 w 2500127"/>
              <a:gd name="connsiteY142" fmla="*/ 1197429 h 3450772"/>
              <a:gd name="connsiteX143" fmla="*/ 435428 w 2500127"/>
              <a:gd name="connsiteY143" fmla="*/ 1164772 h 3450772"/>
              <a:gd name="connsiteX144" fmla="*/ 381000 w 2500127"/>
              <a:gd name="connsiteY144" fmla="*/ 1137557 h 3450772"/>
              <a:gd name="connsiteX145" fmla="*/ 370114 w 2500127"/>
              <a:gd name="connsiteY145" fmla="*/ 1083129 h 3450772"/>
              <a:gd name="connsiteX146" fmla="*/ 424542 w 2500127"/>
              <a:gd name="connsiteY146" fmla="*/ 1050472 h 3450772"/>
              <a:gd name="connsiteX147" fmla="*/ 468085 w 2500127"/>
              <a:gd name="connsiteY147" fmla="*/ 968829 h 3450772"/>
              <a:gd name="connsiteX148" fmla="*/ 446314 w 2500127"/>
              <a:gd name="connsiteY148" fmla="*/ 892629 h 3450772"/>
              <a:gd name="connsiteX149" fmla="*/ 446314 w 2500127"/>
              <a:gd name="connsiteY149" fmla="*/ 892629 h 3450772"/>
              <a:gd name="connsiteX150" fmla="*/ 478971 w 2500127"/>
              <a:gd name="connsiteY150" fmla="*/ 881743 h 3450772"/>
              <a:gd name="connsiteX151" fmla="*/ 424542 w 2500127"/>
              <a:gd name="connsiteY151" fmla="*/ 789214 h 3450772"/>
              <a:gd name="connsiteX152" fmla="*/ 386442 w 2500127"/>
              <a:gd name="connsiteY152" fmla="*/ 778329 h 3450772"/>
              <a:gd name="connsiteX153" fmla="*/ 429985 w 2500127"/>
              <a:gd name="connsiteY153" fmla="*/ 685800 h 3450772"/>
              <a:gd name="connsiteX154" fmla="*/ 451757 w 2500127"/>
              <a:gd name="connsiteY154" fmla="*/ 658586 h 3450772"/>
              <a:gd name="connsiteX155" fmla="*/ 560614 w 2500127"/>
              <a:gd name="connsiteY155" fmla="*/ 620486 h 3450772"/>
              <a:gd name="connsiteX156" fmla="*/ 560614 w 2500127"/>
              <a:gd name="connsiteY156" fmla="*/ 620486 h 3450772"/>
              <a:gd name="connsiteX157" fmla="*/ 636814 w 2500127"/>
              <a:gd name="connsiteY157" fmla="*/ 647700 h 3450772"/>
              <a:gd name="connsiteX158" fmla="*/ 658585 w 2500127"/>
              <a:gd name="connsiteY158" fmla="*/ 674914 h 3450772"/>
              <a:gd name="connsiteX159" fmla="*/ 772885 w 2500127"/>
              <a:gd name="connsiteY159" fmla="*/ 615043 h 3450772"/>
              <a:gd name="connsiteX160" fmla="*/ 745671 w 2500127"/>
              <a:gd name="connsiteY160" fmla="*/ 582386 h 3450772"/>
              <a:gd name="connsiteX161" fmla="*/ 740228 w 2500127"/>
              <a:gd name="connsiteY161" fmla="*/ 506186 h 3450772"/>
              <a:gd name="connsiteX162" fmla="*/ 702128 w 2500127"/>
              <a:gd name="connsiteY162" fmla="*/ 353786 h 3450772"/>
              <a:gd name="connsiteX163" fmla="*/ 685800 w 2500127"/>
              <a:gd name="connsiteY163" fmla="*/ 277586 h 3450772"/>
              <a:gd name="connsiteX164" fmla="*/ 674914 w 2500127"/>
              <a:gd name="connsiteY164" fmla="*/ 244929 h 3450772"/>
              <a:gd name="connsiteX165" fmla="*/ 615042 w 2500127"/>
              <a:gd name="connsiteY165" fmla="*/ 179614 h 3450772"/>
              <a:gd name="connsiteX166" fmla="*/ 604157 w 2500127"/>
              <a:gd name="connsiteY166" fmla="*/ 136072 h 3450772"/>
              <a:gd name="connsiteX167" fmla="*/ 598714 w 2500127"/>
              <a:gd name="connsiteY167" fmla="*/ 130629 h 3450772"/>
              <a:gd name="connsiteX168" fmla="*/ 734785 w 2500127"/>
              <a:gd name="connsiteY168" fmla="*/ 125186 h 3450772"/>
              <a:gd name="connsiteX169" fmla="*/ 745671 w 2500127"/>
              <a:gd name="connsiteY169" fmla="*/ 125186 h 3450772"/>
              <a:gd name="connsiteX170" fmla="*/ 810985 w 2500127"/>
              <a:gd name="connsiteY170" fmla="*/ 59872 h 3450772"/>
              <a:gd name="connsiteX171" fmla="*/ 985157 w 2500127"/>
              <a:gd name="connsiteY171" fmla="*/ 43543 h 3450772"/>
              <a:gd name="connsiteX172" fmla="*/ 1017814 w 2500127"/>
              <a:gd name="connsiteY172" fmla="*/ 81643 h 3450772"/>
              <a:gd name="connsiteX173" fmla="*/ 1126671 w 2500127"/>
              <a:gd name="connsiteY173"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24100 w 2500127"/>
              <a:gd name="connsiteY29" fmla="*/ 658586 h 3450772"/>
              <a:gd name="connsiteX30" fmla="*/ 2427514 w 2500127"/>
              <a:gd name="connsiteY30" fmla="*/ 718457 h 3450772"/>
              <a:gd name="connsiteX31" fmla="*/ 2460171 w 2500127"/>
              <a:gd name="connsiteY31" fmla="*/ 821872 h 3450772"/>
              <a:gd name="connsiteX32" fmla="*/ 2460171 w 2500127"/>
              <a:gd name="connsiteY32" fmla="*/ 865414 h 3450772"/>
              <a:gd name="connsiteX33" fmla="*/ 2477477 w 2500127"/>
              <a:gd name="connsiteY33" fmla="*/ 881233 h 3450772"/>
              <a:gd name="connsiteX34" fmla="*/ 2500127 w 2500127"/>
              <a:gd name="connsiteY34" fmla="*/ 952500 h 3450772"/>
              <a:gd name="connsiteX35" fmla="*/ 2380384 w 2500127"/>
              <a:gd name="connsiteY35" fmla="*/ 1072244 h 3450772"/>
              <a:gd name="connsiteX36" fmla="*/ 2440256 w 2500127"/>
              <a:gd name="connsiteY36" fmla="*/ 1143000 h 3450772"/>
              <a:gd name="connsiteX37" fmla="*/ 2460831 w 2500127"/>
              <a:gd name="connsiteY37" fmla="*/ 1208314 h 3450772"/>
              <a:gd name="connsiteX38" fmla="*/ 2427514 w 2500127"/>
              <a:gd name="connsiteY38" fmla="*/ 1257300 h 3450772"/>
              <a:gd name="connsiteX39" fmla="*/ 2462027 w 2500127"/>
              <a:gd name="connsiteY39" fmla="*/ 1420586 h 3450772"/>
              <a:gd name="connsiteX40" fmla="*/ 2383971 w 2500127"/>
              <a:gd name="connsiteY40" fmla="*/ 1404257 h 3450772"/>
              <a:gd name="connsiteX41" fmla="*/ 2373085 w 2500127"/>
              <a:gd name="connsiteY41" fmla="*/ 1415143 h 3450772"/>
              <a:gd name="connsiteX42" fmla="*/ 2362200 w 2500127"/>
              <a:gd name="connsiteY42" fmla="*/ 1447800 h 3450772"/>
              <a:gd name="connsiteX43" fmla="*/ 2258785 w 2500127"/>
              <a:gd name="connsiteY43" fmla="*/ 1562100 h 3450772"/>
              <a:gd name="connsiteX44" fmla="*/ 2275114 w 2500127"/>
              <a:gd name="connsiteY44" fmla="*/ 1594757 h 3450772"/>
              <a:gd name="connsiteX45" fmla="*/ 2247900 w 2500127"/>
              <a:gd name="connsiteY45" fmla="*/ 1627414 h 3450772"/>
              <a:gd name="connsiteX46" fmla="*/ 2247900 w 2500127"/>
              <a:gd name="connsiteY46" fmla="*/ 1676400 h 3450772"/>
              <a:gd name="connsiteX47" fmla="*/ 2215242 w 2500127"/>
              <a:gd name="connsiteY47" fmla="*/ 1692729 h 3450772"/>
              <a:gd name="connsiteX48" fmla="*/ 2209800 w 2500127"/>
              <a:gd name="connsiteY48" fmla="*/ 1741714 h 3450772"/>
              <a:gd name="connsiteX49" fmla="*/ 2198914 w 2500127"/>
              <a:gd name="connsiteY49" fmla="*/ 1763486 h 3450772"/>
              <a:gd name="connsiteX50" fmla="*/ 2106385 w 2500127"/>
              <a:gd name="connsiteY50" fmla="*/ 1763486 h 3450772"/>
              <a:gd name="connsiteX51" fmla="*/ 2046514 w 2500127"/>
              <a:gd name="connsiteY51" fmla="*/ 1779814 h 3450772"/>
              <a:gd name="connsiteX52" fmla="*/ 1943100 w 2500127"/>
              <a:gd name="connsiteY52" fmla="*/ 1714500 h 3450772"/>
              <a:gd name="connsiteX53" fmla="*/ 1845128 w 2500127"/>
              <a:gd name="connsiteY53" fmla="*/ 1714500 h 3450772"/>
              <a:gd name="connsiteX54" fmla="*/ 1823357 w 2500127"/>
              <a:gd name="connsiteY54" fmla="*/ 1845129 h 3450772"/>
              <a:gd name="connsiteX55" fmla="*/ 1768928 w 2500127"/>
              <a:gd name="connsiteY55" fmla="*/ 1888672 h 3450772"/>
              <a:gd name="connsiteX56" fmla="*/ 1763485 w 2500127"/>
              <a:gd name="connsiteY56" fmla="*/ 1937657 h 3450772"/>
              <a:gd name="connsiteX57" fmla="*/ 1714500 w 2500127"/>
              <a:gd name="connsiteY57" fmla="*/ 1959429 h 3450772"/>
              <a:gd name="connsiteX58" fmla="*/ 1621971 w 2500127"/>
              <a:gd name="connsiteY58" fmla="*/ 2073729 h 3450772"/>
              <a:gd name="connsiteX59" fmla="*/ 1589314 w 2500127"/>
              <a:gd name="connsiteY59" fmla="*/ 2100943 h 3450772"/>
              <a:gd name="connsiteX60" fmla="*/ 1616528 w 2500127"/>
              <a:gd name="connsiteY60" fmla="*/ 2220686 h 3450772"/>
              <a:gd name="connsiteX61" fmla="*/ 1529442 w 2500127"/>
              <a:gd name="connsiteY61" fmla="*/ 2253343 h 3450772"/>
              <a:gd name="connsiteX62" fmla="*/ 1534885 w 2500127"/>
              <a:gd name="connsiteY62" fmla="*/ 2280557 h 3450772"/>
              <a:gd name="connsiteX63" fmla="*/ 1524000 w 2500127"/>
              <a:gd name="connsiteY63" fmla="*/ 2291443 h 3450772"/>
              <a:gd name="connsiteX64" fmla="*/ 1556657 w 2500127"/>
              <a:gd name="connsiteY64" fmla="*/ 2307772 h 3450772"/>
              <a:gd name="connsiteX65" fmla="*/ 1507671 w 2500127"/>
              <a:gd name="connsiteY65" fmla="*/ 2383972 h 3450772"/>
              <a:gd name="connsiteX66" fmla="*/ 1524000 w 2500127"/>
              <a:gd name="connsiteY66" fmla="*/ 2416629 h 3450772"/>
              <a:gd name="connsiteX67" fmla="*/ 1485900 w 2500127"/>
              <a:gd name="connsiteY67" fmla="*/ 2411186 h 3450772"/>
              <a:gd name="connsiteX68" fmla="*/ 1442357 w 2500127"/>
              <a:gd name="connsiteY68" fmla="*/ 2481943 h 3450772"/>
              <a:gd name="connsiteX69" fmla="*/ 1382485 w 2500127"/>
              <a:gd name="connsiteY69" fmla="*/ 2492829 h 3450772"/>
              <a:gd name="connsiteX70" fmla="*/ 1295400 w 2500127"/>
              <a:gd name="connsiteY70" fmla="*/ 2471057 h 3450772"/>
              <a:gd name="connsiteX71" fmla="*/ 1246414 w 2500127"/>
              <a:gd name="connsiteY71" fmla="*/ 2503714 h 3450772"/>
              <a:gd name="connsiteX72" fmla="*/ 1208314 w 2500127"/>
              <a:gd name="connsiteY72" fmla="*/ 2509157 h 3450772"/>
              <a:gd name="connsiteX73" fmla="*/ 1132114 w 2500127"/>
              <a:gd name="connsiteY73" fmla="*/ 2509157 h 3450772"/>
              <a:gd name="connsiteX74" fmla="*/ 1121228 w 2500127"/>
              <a:gd name="connsiteY74" fmla="*/ 2503714 h 3450772"/>
              <a:gd name="connsiteX75" fmla="*/ 1104900 w 2500127"/>
              <a:gd name="connsiteY75" fmla="*/ 2541814 h 3450772"/>
              <a:gd name="connsiteX76" fmla="*/ 1066800 w 2500127"/>
              <a:gd name="connsiteY76" fmla="*/ 2530929 h 3450772"/>
              <a:gd name="connsiteX77" fmla="*/ 1034142 w 2500127"/>
              <a:gd name="connsiteY77" fmla="*/ 2585357 h 3450772"/>
              <a:gd name="connsiteX78" fmla="*/ 1012371 w 2500127"/>
              <a:gd name="connsiteY78" fmla="*/ 2547257 h 3450772"/>
              <a:gd name="connsiteX79" fmla="*/ 892628 w 2500127"/>
              <a:gd name="connsiteY79" fmla="*/ 2585357 h 3450772"/>
              <a:gd name="connsiteX80" fmla="*/ 887185 w 2500127"/>
              <a:gd name="connsiteY80" fmla="*/ 2590800 h 3450772"/>
              <a:gd name="connsiteX81" fmla="*/ 898071 w 2500127"/>
              <a:gd name="connsiteY81" fmla="*/ 2661557 h 3450772"/>
              <a:gd name="connsiteX82" fmla="*/ 838200 w 2500127"/>
              <a:gd name="connsiteY82" fmla="*/ 2786743 h 3450772"/>
              <a:gd name="connsiteX83" fmla="*/ 854528 w 2500127"/>
              <a:gd name="connsiteY83" fmla="*/ 2830286 h 3450772"/>
              <a:gd name="connsiteX84" fmla="*/ 936171 w 2500127"/>
              <a:gd name="connsiteY84" fmla="*/ 2824843 h 3450772"/>
              <a:gd name="connsiteX85" fmla="*/ 979714 w 2500127"/>
              <a:gd name="connsiteY85" fmla="*/ 2906486 h 3450772"/>
              <a:gd name="connsiteX86" fmla="*/ 985157 w 2500127"/>
              <a:gd name="connsiteY86" fmla="*/ 2911929 h 3450772"/>
              <a:gd name="connsiteX87" fmla="*/ 985157 w 2500127"/>
              <a:gd name="connsiteY87" fmla="*/ 2911929 h 3450772"/>
              <a:gd name="connsiteX88" fmla="*/ 1001485 w 2500127"/>
              <a:gd name="connsiteY88" fmla="*/ 2960914 h 3450772"/>
              <a:gd name="connsiteX89" fmla="*/ 1006928 w 2500127"/>
              <a:gd name="connsiteY89" fmla="*/ 3048000 h 3450772"/>
              <a:gd name="connsiteX90" fmla="*/ 979714 w 2500127"/>
              <a:gd name="connsiteY90" fmla="*/ 3053443 h 3450772"/>
              <a:gd name="connsiteX91" fmla="*/ 974271 w 2500127"/>
              <a:gd name="connsiteY91" fmla="*/ 3053443 h 3450772"/>
              <a:gd name="connsiteX92" fmla="*/ 985157 w 2500127"/>
              <a:gd name="connsiteY92" fmla="*/ 3086100 h 3450772"/>
              <a:gd name="connsiteX93" fmla="*/ 881742 w 2500127"/>
              <a:gd name="connsiteY93" fmla="*/ 3216729 h 3450772"/>
              <a:gd name="connsiteX94" fmla="*/ 892628 w 2500127"/>
              <a:gd name="connsiteY94" fmla="*/ 3260272 h 3450772"/>
              <a:gd name="connsiteX95" fmla="*/ 849085 w 2500127"/>
              <a:gd name="connsiteY95" fmla="*/ 3276600 h 3450772"/>
              <a:gd name="connsiteX96" fmla="*/ 827314 w 2500127"/>
              <a:gd name="connsiteY96" fmla="*/ 3320143 h 3450772"/>
              <a:gd name="connsiteX97" fmla="*/ 810985 w 2500127"/>
              <a:gd name="connsiteY97" fmla="*/ 3369129 h 3450772"/>
              <a:gd name="connsiteX98" fmla="*/ 805542 w 2500127"/>
              <a:gd name="connsiteY98" fmla="*/ 3407229 h 3450772"/>
              <a:gd name="connsiteX99" fmla="*/ 805542 w 2500127"/>
              <a:gd name="connsiteY99" fmla="*/ 3423557 h 3450772"/>
              <a:gd name="connsiteX100" fmla="*/ 800100 w 2500127"/>
              <a:gd name="connsiteY100" fmla="*/ 3418114 h 3450772"/>
              <a:gd name="connsiteX101" fmla="*/ 778328 w 2500127"/>
              <a:gd name="connsiteY101" fmla="*/ 3418114 h 3450772"/>
              <a:gd name="connsiteX102" fmla="*/ 740228 w 2500127"/>
              <a:gd name="connsiteY102" fmla="*/ 3445329 h 3450772"/>
              <a:gd name="connsiteX103" fmla="*/ 702128 w 2500127"/>
              <a:gd name="connsiteY103" fmla="*/ 3434443 h 3450772"/>
              <a:gd name="connsiteX104" fmla="*/ 702128 w 2500127"/>
              <a:gd name="connsiteY104" fmla="*/ 3434443 h 3450772"/>
              <a:gd name="connsiteX105" fmla="*/ 664028 w 2500127"/>
              <a:gd name="connsiteY105" fmla="*/ 3450772 h 3450772"/>
              <a:gd name="connsiteX106" fmla="*/ 571500 w 2500127"/>
              <a:gd name="connsiteY106" fmla="*/ 3380014 h 3450772"/>
              <a:gd name="connsiteX107" fmla="*/ 533400 w 2500127"/>
              <a:gd name="connsiteY107" fmla="*/ 3309257 h 3450772"/>
              <a:gd name="connsiteX108" fmla="*/ 462642 w 2500127"/>
              <a:gd name="connsiteY108" fmla="*/ 3303814 h 3450772"/>
              <a:gd name="connsiteX109" fmla="*/ 277585 w 2500127"/>
              <a:gd name="connsiteY109" fmla="*/ 3243943 h 3450772"/>
              <a:gd name="connsiteX110" fmla="*/ 266700 w 2500127"/>
              <a:gd name="connsiteY110" fmla="*/ 3194957 h 3450772"/>
              <a:gd name="connsiteX111" fmla="*/ 228600 w 2500127"/>
              <a:gd name="connsiteY111" fmla="*/ 3194957 h 3450772"/>
              <a:gd name="connsiteX112" fmla="*/ 223157 w 2500127"/>
              <a:gd name="connsiteY112" fmla="*/ 3216729 h 3450772"/>
              <a:gd name="connsiteX113" fmla="*/ 223157 w 2500127"/>
              <a:gd name="connsiteY113" fmla="*/ 3243943 h 3450772"/>
              <a:gd name="connsiteX114" fmla="*/ 190500 w 2500127"/>
              <a:gd name="connsiteY114" fmla="*/ 3233057 h 3450772"/>
              <a:gd name="connsiteX115" fmla="*/ 163285 w 2500127"/>
              <a:gd name="connsiteY115" fmla="*/ 3211286 h 3450772"/>
              <a:gd name="connsiteX116" fmla="*/ 152400 w 2500127"/>
              <a:gd name="connsiteY116" fmla="*/ 3194957 h 3450772"/>
              <a:gd name="connsiteX117" fmla="*/ 174171 w 2500127"/>
              <a:gd name="connsiteY117" fmla="*/ 3151414 h 3450772"/>
              <a:gd name="connsiteX118" fmla="*/ 201385 w 2500127"/>
              <a:gd name="connsiteY118" fmla="*/ 3102429 h 3450772"/>
              <a:gd name="connsiteX119" fmla="*/ 185057 w 2500127"/>
              <a:gd name="connsiteY119" fmla="*/ 3064329 h 3450772"/>
              <a:gd name="connsiteX120" fmla="*/ 185057 w 2500127"/>
              <a:gd name="connsiteY120" fmla="*/ 3042557 h 3450772"/>
              <a:gd name="connsiteX121" fmla="*/ 125185 w 2500127"/>
              <a:gd name="connsiteY121" fmla="*/ 3042557 h 3450772"/>
              <a:gd name="connsiteX122" fmla="*/ 103414 w 2500127"/>
              <a:gd name="connsiteY122" fmla="*/ 3031672 h 3450772"/>
              <a:gd name="connsiteX123" fmla="*/ 70757 w 2500127"/>
              <a:gd name="connsiteY123" fmla="*/ 3058886 h 3450772"/>
              <a:gd name="connsiteX124" fmla="*/ 65314 w 2500127"/>
              <a:gd name="connsiteY124" fmla="*/ 3020786 h 3450772"/>
              <a:gd name="connsiteX125" fmla="*/ 0 w 2500127"/>
              <a:gd name="connsiteY125" fmla="*/ 2982686 h 3450772"/>
              <a:gd name="connsiteX126" fmla="*/ 54428 w 2500127"/>
              <a:gd name="connsiteY126" fmla="*/ 2933700 h 3450772"/>
              <a:gd name="connsiteX127" fmla="*/ 179614 w 2500127"/>
              <a:gd name="connsiteY127" fmla="*/ 2770414 h 3450772"/>
              <a:gd name="connsiteX128" fmla="*/ 326571 w 2500127"/>
              <a:gd name="connsiteY128" fmla="*/ 2122714 h 3450772"/>
              <a:gd name="connsiteX129" fmla="*/ 315685 w 2500127"/>
              <a:gd name="connsiteY129" fmla="*/ 2046514 h 3450772"/>
              <a:gd name="connsiteX130" fmla="*/ 359228 w 2500127"/>
              <a:gd name="connsiteY130" fmla="*/ 1964872 h 3450772"/>
              <a:gd name="connsiteX131" fmla="*/ 435428 w 2500127"/>
              <a:gd name="connsiteY131" fmla="*/ 1970314 h 3450772"/>
              <a:gd name="connsiteX132" fmla="*/ 440871 w 2500127"/>
              <a:gd name="connsiteY132" fmla="*/ 1937657 h 3450772"/>
              <a:gd name="connsiteX133" fmla="*/ 391885 w 2500127"/>
              <a:gd name="connsiteY133" fmla="*/ 1883229 h 3450772"/>
              <a:gd name="connsiteX134" fmla="*/ 386442 w 2500127"/>
              <a:gd name="connsiteY134" fmla="*/ 1872343 h 3450772"/>
              <a:gd name="connsiteX135" fmla="*/ 326571 w 2500127"/>
              <a:gd name="connsiteY135" fmla="*/ 1948543 h 3450772"/>
              <a:gd name="connsiteX136" fmla="*/ 408214 w 2500127"/>
              <a:gd name="connsiteY136" fmla="*/ 1338943 h 3450772"/>
              <a:gd name="connsiteX137" fmla="*/ 446314 w 2500127"/>
              <a:gd name="connsiteY137" fmla="*/ 1251857 h 3450772"/>
              <a:gd name="connsiteX138" fmla="*/ 462642 w 2500127"/>
              <a:gd name="connsiteY138" fmla="*/ 1300843 h 3450772"/>
              <a:gd name="connsiteX139" fmla="*/ 582385 w 2500127"/>
              <a:gd name="connsiteY139" fmla="*/ 1409700 h 3450772"/>
              <a:gd name="connsiteX140" fmla="*/ 620485 w 2500127"/>
              <a:gd name="connsiteY140" fmla="*/ 1513114 h 3450772"/>
              <a:gd name="connsiteX141" fmla="*/ 653142 w 2500127"/>
              <a:gd name="connsiteY141" fmla="*/ 1464129 h 3450772"/>
              <a:gd name="connsiteX142" fmla="*/ 625928 w 2500127"/>
              <a:gd name="connsiteY142" fmla="*/ 1344386 h 3450772"/>
              <a:gd name="connsiteX143" fmla="*/ 484414 w 2500127"/>
              <a:gd name="connsiteY143" fmla="*/ 1197429 h 3450772"/>
              <a:gd name="connsiteX144" fmla="*/ 435428 w 2500127"/>
              <a:gd name="connsiteY144" fmla="*/ 1164772 h 3450772"/>
              <a:gd name="connsiteX145" fmla="*/ 381000 w 2500127"/>
              <a:gd name="connsiteY145" fmla="*/ 1137557 h 3450772"/>
              <a:gd name="connsiteX146" fmla="*/ 370114 w 2500127"/>
              <a:gd name="connsiteY146" fmla="*/ 1083129 h 3450772"/>
              <a:gd name="connsiteX147" fmla="*/ 424542 w 2500127"/>
              <a:gd name="connsiteY147" fmla="*/ 1050472 h 3450772"/>
              <a:gd name="connsiteX148" fmla="*/ 468085 w 2500127"/>
              <a:gd name="connsiteY148" fmla="*/ 968829 h 3450772"/>
              <a:gd name="connsiteX149" fmla="*/ 446314 w 2500127"/>
              <a:gd name="connsiteY149" fmla="*/ 892629 h 3450772"/>
              <a:gd name="connsiteX150" fmla="*/ 446314 w 2500127"/>
              <a:gd name="connsiteY150" fmla="*/ 892629 h 3450772"/>
              <a:gd name="connsiteX151" fmla="*/ 478971 w 2500127"/>
              <a:gd name="connsiteY151" fmla="*/ 881743 h 3450772"/>
              <a:gd name="connsiteX152" fmla="*/ 424542 w 2500127"/>
              <a:gd name="connsiteY152" fmla="*/ 789214 h 3450772"/>
              <a:gd name="connsiteX153" fmla="*/ 386442 w 2500127"/>
              <a:gd name="connsiteY153" fmla="*/ 778329 h 3450772"/>
              <a:gd name="connsiteX154" fmla="*/ 429985 w 2500127"/>
              <a:gd name="connsiteY154" fmla="*/ 685800 h 3450772"/>
              <a:gd name="connsiteX155" fmla="*/ 451757 w 2500127"/>
              <a:gd name="connsiteY155" fmla="*/ 658586 h 3450772"/>
              <a:gd name="connsiteX156" fmla="*/ 560614 w 2500127"/>
              <a:gd name="connsiteY156" fmla="*/ 620486 h 3450772"/>
              <a:gd name="connsiteX157" fmla="*/ 560614 w 2500127"/>
              <a:gd name="connsiteY157" fmla="*/ 620486 h 3450772"/>
              <a:gd name="connsiteX158" fmla="*/ 636814 w 2500127"/>
              <a:gd name="connsiteY158" fmla="*/ 647700 h 3450772"/>
              <a:gd name="connsiteX159" fmla="*/ 658585 w 2500127"/>
              <a:gd name="connsiteY159" fmla="*/ 674914 h 3450772"/>
              <a:gd name="connsiteX160" fmla="*/ 772885 w 2500127"/>
              <a:gd name="connsiteY160" fmla="*/ 615043 h 3450772"/>
              <a:gd name="connsiteX161" fmla="*/ 745671 w 2500127"/>
              <a:gd name="connsiteY161" fmla="*/ 582386 h 3450772"/>
              <a:gd name="connsiteX162" fmla="*/ 740228 w 2500127"/>
              <a:gd name="connsiteY162" fmla="*/ 506186 h 3450772"/>
              <a:gd name="connsiteX163" fmla="*/ 702128 w 2500127"/>
              <a:gd name="connsiteY163" fmla="*/ 353786 h 3450772"/>
              <a:gd name="connsiteX164" fmla="*/ 685800 w 2500127"/>
              <a:gd name="connsiteY164" fmla="*/ 277586 h 3450772"/>
              <a:gd name="connsiteX165" fmla="*/ 674914 w 2500127"/>
              <a:gd name="connsiteY165" fmla="*/ 244929 h 3450772"/>
              <a:gd name="connsiteX166" fmla="*/ 615042 w 2500127"/>
              <a:gd name="connsiteY166" fmla="*/ 179614 h 3450772"/>
              <a:gd name="connsiteX167" fmla="*/ 604157 w 2500127"/>
              <a:gd name="connsiteY167" fmla="*/ 136072 h 3450772"/>
              <a:gd name="connsiteX168" fmla="*/ 598714 w 2500127"/>
              <a:gd name="connsiteY168" fmla="*/ 130629 h 3450772"/>
              <a:gd name="connsiteX169" fmla="*/ 734785 w 2500127"/>
              <a:gd name="connsiteY169" fmla="*/ 125186 h 3450772"/>
              <a:gd name="connsiteX170" fmla="*/ 745671 w 2500127"/>
              <a:gd name="connsiteY170" fmla="*/ 125186 h 3450772"/>
              <a:gd name="connsiteX171" fmla="*/ 810985 w 2500127"/>
              <a:gd name="connsiteY171" fmla="*/ 59872 h 3450772"/>
              <a:gd name="connsiteX172" fmla="*/ 985157 w 2500127"/>
              <a:gd name="connsiteY172" fmla="*/ 43543 h 3450772"/>
              <a:gd name="connsiteX173" fmla="*/ 1017814 w 2500127"/>
              <a:gd name="connsiteY173" fmla="*/ 81643 h 3450772"/>
              <a:gd name="connsiteX174" fmla="*/ 1126671 w 2500127"/>
              <a:gd name="connsiteY174"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24100 w 2500127"/>
              <a:gd name="connsiteY29" fmla="*/ 658586 h 3450772"/>
              <a:gd name="connsiteX30" fmla="*/ 2427514 w 2500127"/>
              <a:gd name="connsiteY30" fmla="*/ 718457 h 3450772"/>
              <a:gd name="connsiteX31" fmla="*/ 2472913 w 2500127"/>
              <a:gd name="connsiteY31" fmla="*/ 821872 h 3450772"/>
              <a:gd name="connsiteX32" fmla="*/ 2460171 w 2500127"/>
              <a:gd name="connsiteY32" fmla="*/ 865414 h 3450772"/>
              <a:gd name="connsiteX33" fmla="*/ 2477477 w 2500127"/>
              <a:gd name="connsiteY33" fmla="*/ 881233 h 3450772"/>
              <a:gd name="connsiteX34" fmla="*/ 2500127 w 2500127"/>
              <a:gd name="connsiteY34" fmla="*/ 952500 h 3450772"/>
              <a:gd name="connsiteX35" fmla="*/ 2380384 w 2500127"/>
              <a:gd name="connsiteY35" fmla="*/ 1072244 h 3450772"/>
              <a:gd name="connsiteX36" fmla="*/ 2440256 w 2500127"/>
              <a:gd name="connsiteY36" fmla="*/ 1143000 h 3450772"/>
              <a:gd name="connsiteX37" fmla="*/ 2460831 w 2500127"/>
              <a:gd name="connsiteY37" fmla="*/ 1208314 h 3450772"/>
              <a:gd name="connsiteX38" fmla="*/ 2427514 w 2500127"/>
              <a:gd name="connsiteY38" fmla="*/ 1257300 h 3450772"/>
              <a:gd name="connsiteX39" fmla="*/ 2462027 w 2500127"/>
              <a:gd name="connsiteY39" fmla="*/ 1420586 h 3450772"/>
              <a:gd name="connsiteX40" fmla="*/ 2383971 w 2500127"/>
              <a:gd name="connsiteY40" fmla="*/ 1404257 h 3450772"/>
              <a:gd name="connsiteX41" fmla="*/ 2373085 w 2500127"/>
              <a:gd name="connsiteY41" fmla="*/ 1415143 h 3450772"/>
              <a:gd name="connsiteX42" fmla="*/ 2362200 w 2500127"/>
              <a:gd name="connsiteY42" fmla="*/ 1447800 h 3450772"/>
              <a:gd name="connsiteX43" fmla="*/ 2258785 w 2500127"/>
              <a:gd name="connsiteY43" fmla="*/ 1562100 h 3450772"/>
              <a:gd name="connsiteX44" fmla="*/ 2275114 w 2500127"/>
              <a:gd name="connsiteY44" fmla="*/ 1594757 h 3450772"/>
              <a:gd name="connsiteX45" fmla="*/ 2247900 w 2500127"/>
              <a:gd name="connsiteY45" fmla="*/ 1627414 h 3450772"/>
              <a:gd name="connsiteX46" fmla="*/ 2247900 w 2500127"/>
              <a:gd name="connsiteY46" fmla="*/ 1676400 h 3450772"/>
              <a:gd name="connsiteX47" fmla="*/ 2215242 w 2500127"/>
              <a:gd name="connsiteY47" fmla="*/ 1692729 h 3450772"/>
              <a:gd name="connsiteX48" fmla="*/ 2209800 w 2500127"/>
              <a:gd name="connsiteY48" fmla="*/ 1741714 h 3450772"/>
              <a:gd name="connsiteX49" fmla="*/ 2198914 w 2500127"/>
              <a:gd name="connsiteY49" fmla="*/ 1763486 h 3450772"/>
              <a:gd name="connsiteX50" fmla="*/ 2106385 w 2500127"/>
              <a:gd name="connsiteY50" fmla="*/ 1763486 h 3450772"/>
              <a:gd name="connsiteX51" fmla="*/ 2046514 w 2500127"/>
              <a:gd name="connsiteY51" fmla="*/ 1779814 h 3450772"/>
              <a:gd name="connsiteX52" fmla="*/ 1943100 w 2500127"/>
              <a:gd name="connsiteY52" fmla="*/ 1714500 h 3450772"/>
              <a:gd name="connsiteX53" fmla="*/ 1845128 w 2500127"/>
              <a:gd name="connsiteY53" fmla="*/ 1714500 h 3450772"/>
              <a:gd name="connsiteX54" fmla="*/ 1823357 w 2500127"/>
              <a:gd name="connsiteY54" fmla="*/ 1845129 h 3450772"/>
              <a:gd name="connsiteX55" fmla="*/ 1768928 w 2500127"/>
              <a:gd name="connsiteY55" fmla="*/ 1888672 h 3450772"/>
              <a:gd name="connsiteX56" fmla="*/ 1763485 w 2500127"/>
              <a:gd name="connsiteY56" fmla="*/ 1937657 h 3450772"/>
              <a:gd name="connsiteX57" fmla="*/ 1714500 w 2500127"/>
              <a:gd name="connsiteY57" fmla="*/ 1959429 h 3450772"/>
              <a:gd name="connsiteX58" fmla="*/ 1621971 w 2500127"/>
              <a:gd name="connsiteY58" fmla="*/ 2073729 h 3450772"/>
              <a:gd name="connsiteX59" fmla="*/ 1589314 w 2500127"/>
              <a:gd name="connsiteY59" fmla="*/ 2100943 h 3450772"/>
              <a:gd name="connsiteX60" fmla="*/ 1616528 w 2500127"/>
              <a:gd name="connsiteY60" fmla="*/ 2220686 h 3450772"/>
              <a:gd name="connsiteX61" fmla="*/ 1529442 w 2500127"/>
              <a:gd name="connsiteY61" fmla="*/ 2253343 h 3450772"/>
              <a:gd name="connsiteX62" fmla="*/ 1534885 w 2500127"/>
              <a:gd name="connsiteY62" fmla="*/ 2280557 h 3450772"/>
              <a:gd name="connsiteX63" fmla="*/ 1524000 w 2500127"/>
              <a:gd name="connsiteY63" fmla="*/ 2291443 h 3450772"/>
              <a:gd name="connsiteX64" fmla="*/ 1556657 w 2500127"/>
              <a:gd name="connsiteY64" fmla="*/ 2307772 h 3450772"/>
              <a:gd name="connsiteX65" fmla="*/ 1507671 w 2500127"/>
              <a:gd name="connsiteY65" fmla="*/ 2383972 h 3450772"/>
              <a:gd name="connsiteX66" fmla="*/ 1524000 w 2500127"/>
              <a:gd name="connsiteY66" fmla="*/ 2416629 h 3450772"/>
              <a:gd name="connsiteX67" fmla="*/ 1485900 w 2500127"/>
              <a:gd name="connsiteY67" fmla="*/ 2411186 h 3450772"/>
              <a:gd name="connsiteX68" fmla="*/ 1442357 w 2500127"/>
              <a:gd name="connsiteY68" fmla="*/ 2481943 h 3450772"/>
              <a:gd name="connsiteX69" fmla="*/ 1382485 w 2500127"/>
              <a:gd name="connsiteY69" fmla="*/ 2492829 h 3450772"/>
              <a:gd name="connsiteX70" fmla="*/ 1295400 w 2500127"/>
              <a:gd name="connsiteY70" fmla="*/ 2471057 h 3450772"/>
              <a:gd name="connsiteX71" fmla="*/ 1246414 w 2500127"/>
              <a:gd name="connsiteY71" fmla="*/ 2503714 h 3450772"/>
              <a:gd name="connsiteX72" fmla="*/ 1208314 w 2500127"/>
              <a:gd name="connsiteY72" fmla="*/ 2509157 h 3450772"/>
              <a:gd name="connsiteX73" fmla="*/ 1132114 w 2500127"/>
              <a:gd name="connsiteY73" fmla="*/ 2509157 h 3450772"/>
              <a:gd name="connsiteX74" fmla="*/ 1121228 w 2500127"/>
              <a:gd name="connsiteY74" fmla="*/ 2503714 h 3450772"/>
              <a:gd name="connsiteX75" fmla="*/ 1104900 w 2500127"/>
              <a:gd name="connsiteY75" fmla="*/ 2541814 h 3450772"/>
              <a:gd name="connsiteX76" fmla="*/ 1066800 w 2500127"/>
              <a:gd name="connsiteY76" fmla="*/ 2530929 h 3450772"/>
              <a:gd name="connsiteX77" fmla="*/ 1034142 w 2500127"/>
              <a:gd name="connsiteY77" fmla="*/ 2585357 h 3450772"/>
              <a:gd name="connsiteX78" fmla="*/ 1012371 w 2500127"/>
              <a:gd name="connsiteY78" fmla="*/ 2547257 h 3450772"/>
              <a:gd name="connsiteX79" fmla="*/ 892628 w 2500127"/>
              <a:gd name="connsiteY79" fmla="*/ 2585357 h 3450772"/>
              <a:gd name="connsiteX80" fmla="*/ 887185 w 2500127"/>
              <a:gd name="connsiteY80" fmla="*/ 2590800 h 3450772"/>
              <a:gd name="connsiteX81" fmla="*/ 898071 w 2500127"/>
              <a:gd name="connsiteY81" fmla="*/ 2661557 h 3450772"/>
              <a:gd name="connsiteX82" fmla="*/ 838200 w 2500127"/>
              <a:gd name="connsiteY82" fmla="*/ 2786743 h 3450772"/>
              <a:gd name="connsiteX83" fmla="*/ 854528 w 2500127"/>
              <a:gd name="connsiteY83" fmla="*/ 2830286 h 3450772"/>
              <a:gd name="connsiteX84" fmla="*/ 936171 w 2500127"/>
              <a:gd name="connsiteY84" fmla="*/ 2824843 h 3450772"/>
              <a:gd name="connsiteX85" fmla="*/ 979714 w 2500127"/>
              <a:gd name="connsiteY85" fmla="*/ 2906486 h 3450772"/>
              <a:gd name="connsiteX86" fmla="*/ 985157 w 2500127"/>
              <a:gd name="connsiteY86" fmla="*/ 2911929 h 3450772"/>
              <a:gd name="connsiteX87" fmla="*/ 985157 w 2500127"/>
              <a:gd name="connsiteY87" fmla="*/ 2911929 h 3450772"/>
              <a:gd name="connsiteX88" fmla="*/ 1001485 w 2500127"/>
              <a:gd name="connsiteY88" fmla="*/ 2960914 h 3450772"/>
              <a:gd name="connsiteX89" fmla="*/ 1006928 w 2500127"/>
              <a:gd name="connsiteY89" fmla="*/ 3048000 h 3450772"/>
              <a:gd name="connsiteX90" fmla="*/ 979714 w 2500127"/>
              <a:gd name="connsiteY90" fmla="*/ 3053443 h 3450772"/>
              <a:gd name="connsiteX91" fmla="*/ 974271 w 2500127"/>
              <a:gd name="connsiteY91" fmla="*/ 3053443 h 3450772"/>
              <a:gd name="connsiteX92" fmla="*/ 985157 w 2500127"/>
              <a:gd name="connsiteY92" fmla="*/ 3086100 h 3450772"/>
              <a:gd name="connsiteX93" fmla="*/ 881742 w 2500127"/>
              <a:gd name="connsiteY93" fmla="*/ 3216729 h 3450772"/>
              <a:gd name="connsiteX94" fmla="*/ 892628 w 2500127"/>
              <a:gd name="connsiteY94" fmla="*/ 3260272 h 3450772"/>
              <a:gd name="connsiteX95" fmla="*/ 849085 w 2500127"/>
              <a:gd name="connsiteY95" fmla="*/ 3276600 h 3450772"/>
              <a:gd name="connsiteX96" fmla="*/ 827314 w 2500127"/>
              <a:gd name="connsiteY96" fmla="*/ 3320143 h 3450772"/>
              <a:gd name="connsiteX97" fmla="*/ 810985 w 2500127"/>
              <a:gd name="connsiteY97" fmla="*/ 3369129 h 3450772"/>
              <a:gd name="connsiteX98" fmla="*/ 805542 w 2500127"/>
              <a:gd name="connsiteY98" fmla="*/ 3407229 h 3450772"/>
              <a:gd name="connsiteX99" fmla="*/ 805542 w 2500127"/>
              <a:gd name="connsiteY99" fmla="*/ 3423557 h 3450772"/>
              <a:gd name="connsiteX100" fmla="*/ 800100 w 2500127"/>
              <a:gd name="connsiteY100" fmla="*/ 3418114 h 3450772"/>
              <a:gd name="connsiteX101" fmla="*/ 778328 w 2500127"/>
              <a:gd name="connsiteY101" fmla="*/ 3418114 h 3450772"/>
              <a:gd name="connsiteX102" fmla="*/ 740228 w 2500127"/>
              <a:gd name="connsiteY102" fmla="*/ 3445329 h 3450772"/>
              <a:gd name="connsiteX103" fmla="*/ 702128 w 2500127"/>
              <a:gd name="connsiteY103" fmla="*/ 3434443 h 3450772"/>
              <a:gd name="connsiteX104" fmla="*/ 702128 w 2500127"/>
              <a:gd name="connsiteY104" fmla="*/ 3434443 h 3450772"/>
              <a:gd name="connsiteX105" fmla="*/ 664028 w 2500127"/>
              <a:gd name="connsiteY105" fmla="*/ 3450772 h 3450772"/>
              <a:gd name="connsiteX106" fmla="*/ 571500 w 2500127"/>
              <a:gd name="connsiteY106" fmla="*/ 3380014 h 3450772"/>
              <a:gd name="connsiteX107" fmla="*/ 533400 w 2500127"/>
              <a:gd name="connsiteY107" fmla="*/ 3309257 h 3450772"/>
              <a:gd name="connsiteX108" fmla="*/ 462642 w 2500127"/>
              <a:gd name="connsiteY108" fmla="*/ 3303814 h 3450772"/>
              <a:gd name="connsiteX109" fmla="*/ 277585 w 2500127"/>
              <a:gd name="connsiteY109" fmla="*/ 3243943 h 3450772"/>
              <a:gd name="connsiteX110" fmla="*/ 266700 w 2500127"/>
              <a:gd name="connsiteY110" fmla="*/ 3194957 h 3450772"/>
              <a:gd name="connsiteX111" fmla="*/ 228600 w 2500127"/>
              <a:gd name="connsiteY111" fmla="*/ 3194957 h 3450772"/>
              <a:gd name="connsiteX112" fmla="*/ 223157 w 2500127"/>
              <a:gd name="connsiteY112" fmla="*/ 3216729 h 3450772"/>
              <a:gd name="connsiteX113" fmla="*/ 223157 w 2500127"/>
              <a:gd name="connsiteY113" fmla="*/ 3243943 h 3450772"/>
              <a:gd name="connsiteX114" fmla="*/ 190500 w 2500127"/>
              <a:gd name="connsiteY114" fmla="*/ 3233057 h 3450772"/>
              <a:gd name="connsiteX115" fmla="*/ 163285 w 2500127"/>
              <a:gd name="connsiteY115" fmla="*/ 3211286 h 3450772"/>
              <a:gd name="connsiteX116" fmla="*/ 152400 w 2500127"/>
              <a:gd name="connsiteY116" fmla="*/ 3194957 h 3450772"/>
              <a:gd name="connsiteX117" fmla="*/ 174171 w 2500127"/>
              <a:gd name="connsiteY117" fmla="*/ 3151414 h 3450772"/>
              <a:gd name="connsiteX118" fmla="*/ 201385 w 2500127"/>
              <a:gd name="connsiteY118" fmla="*/ 3102429 h 3450772"/>
              <a:gd name="connsiteX119" fmla="*/ 185057 w 2500127"/>
              <a:gd name="connsiteY119" fmla="*/ 3064329 h 3450772"/>
              <a:gd name="connsiteX120" fmla="*/ 185057 w 2500127"/>
              <a:gd name="connsiteY120" fmla="*/ 3042557 h 3450772"/>
              <a:gd name="connsiteX121" fmla="*/ 125185 w 2500127"/>
              <a:gd name="connsiteY121" fmla="*/ 3042557 h 3450772"/>
              <a:gd name="connsiteX122" fmla="*/ 103414 w 2500127"/>
              <a:gd name="connsiteY122" fmla="*/ 3031672 h 3450772"/>
              <a:gd name="connsiteX123" fmla="*/ 70757 w 2500127"/>
              <a:gd name="connsiteY123" fmla="*/ 3058886 h 3450772"/>
              <a:gd name="connsiteX124" fmla="*/ 65314 w 2500127"/>
              <a:gd name="connsiteY124" fmla="*/ 3020786 h 3450772"/>
              <a:gd name="connsiteX125" fmla="*/ 0 w 2500127"/>
              <a:gd name="connsiteY125" fmla="*/ 2982686 h 3450772"/>
              <a:gd name="connsiteX126" fmla="*/ 54428 w 2500127"/>
              <a:gd name="connsiteY126" fmla="*/ 2933700 h 3450772"/>
              <a:gd name="connsiteX127" fmla="*/ 179614 w 2500127"/>
              <a:gd name="connsiteY127" fmla="*/ 2770414 h 3450772"/>
              <a:gd name="connsiteX128" fmla="*/ 326571 w 2500127"/>
              <a:gd name="connsiteY128" fmla="*/ 2122714 h 3450772"/>
              <a:gd name="connsiteX129" fmla="*/ 315685 w 2500127"/>
              <a:gd name="connsiteY129" fmla="*/ 2046514 h 3450772"/>
              <a:gd name="connsiteX130" fmla="*/ 359228 w 2500127"/>
              <a:gd name="connsiteY130" fmla="*/ 1964872 h 3450772"/>
              <a:gd name="connsiteX131" fmla="*/ 435428 w 2500127"/>
              <a:gd name="connsiteY131" fmla="*/ 1970314 h 3450772"/>
              <a:gd name="connsiteX132" fmla="*/ 440871 w 2500127"/>
              <a:gd name="connsiteY132" fmla="*/ 1937657 h 3450772"/>
              <a:gd name="connsiteX133" fmla="*/ 391885 w 2500127"/>
              <a:gd name="connsiteY133" fmla="*/ 1883229 h 3450772"/>
              <a:gd name="connsiteX134" fmla="*/ 386442 w 2500127"/>
              <a:gd name="connsiteY134" fmla="*/ 1872343 h 3450772"/>
              <a:gd name="connsiteX135" fmla="*/ 326571 w 2500127"/>
              <a:gd name="connsiteY135" fmla="*/ 1948543 h 3450772"/>
              <a:gd name="connsiteX136" fmla="*/ 408214 w 2500127"/>
              <a:gd name="connsiteY136" fmla="*/ 1338943 h 3450772"/>
              <a:gd name="connsiteX137" fmla="*/ 446314 w 2500127"/>
              <a:gd name="connsiteY137" fmla="*/ 1251857 h 3450772"/>
              <a:gd name="connsiteX138" fmla="*/ 462642 w 2500127"/>
              <a:gd name="connsiteY138" fmla="*/ 1300843 h 3450772"/>
              <a:gd name="connsiteX139" fmla="*/ 582385 w 2500127"/>
              <a:gd name="connsiteY139" fmla="*/ 1409700 h 3450772"/>
              <a:gd name="connsiteX140" fmla="*/ 620485 w 2500127"/>
              <a:gd name="connsiteY140" fmla="*/ 1513114 h 3450772"/>
              <a:gd name="connsiteX141" fmla="*/ 653142 w 2500127"/>
              <a:gd name="connsiteY141" fmla="*/ 1464129 h 3450772"/>
              <a:gd name="connsiteX142" fmla="*/ 625928 w 2500127"/>
              <a:gd name="connsiteY142" fmla="*/ 1344386 h 3450772"/>
              <a:gd name="connsiteX143" fmla="*/ 484414 w 2500127"/>
              <a:gd name="connsiteY143" fmla="*/ 1197429 h 3450772"/>
              <a:gd name="connsiteX144" fmla="*/ 435428 w 2500127"/>
              <a:gd name="connsiteY144" fmla="*/ 1164772 h 3450772"/>
              <a:gd name="connsiteX145" fmla="*/ 381000 w 2500127"/>
              <a:gd name="connsiteY145" fmla="*/ 1137557 h 3450772"/>
              <a:gd name="connsiteX146" fmla="*/ 370114 w 2500127"/>
              <a:gd name="connsiteY146" fmla="*/ 1083129 h 3450772"/>
              <a:gd name="connsiteX147" fmla="*/ 424542 w 2500127"/>
              <a:gd name="connsiteY147" fmla="*/ 1050472 h 3450772"/>
              <a:gd name="connsiteX148" fmla="*/ 468085 w 2500127"/>
              <a:gd name="connsiteY148" fmla="*/ 968829 h 3450772"/>
              <a:gd name="connsiteX149" fmla="*/ 446314 w 2500127"/>
              <a:gd name="connsiteY149" fmla="*/ 892629 h 3450772"/>
              <a:gd name="connsiteX150" fmla="*/ 446314 w 2500127"/>
              <a:gd name="connsiteY150" fmla="*/ 892629 h 3450772"/>
              <a:gd name="connsiteX151" fmla="*/ 478971 w 2500127"/>
              <a:gd name="connsiteY151" fmla="*/ 881743 h 3450772"/>
              <a:gd name="connsiteX152" fmla="*/ 424542 w 2500127"/>
              <a:gd name="connsiteY152" fmla="*/ 789214 h 3450772"/>
              <a:gd name="connsiteX153" fmla="*/ 386442 w 2500127"/>
              <a:gd name="connsiteY153" fmla="*/ 778329 h 3450772"/>
              <a:gd name="connsiteX154" fmla="*/ 429985 w 2500127"/>
              <a:gd name="connsiteY154" fmla="*/ 685800 h 3450772"/>
              <a:gd name="connsiteX155" fmla="*/ 451757 w 2500127"/>
              <a:gd name="connsiteY155" fmla="*/ 658586 h 3450772"/>
              <a:gd name="connsiteX156" fmla="*/ 560614 w 2500127"/>
              <a:gd name="connsiteY156" fmla="*/ 620486 h 3450772"/>
              <a:gd name="connsiteX157" fmla="*/ 560614 w 2500127"/>
              <a:gd name="connsiteY157" fmla="*/ 620486 h 3450772"/>
              <a:gd name="connsiteX158" fmla="*/ 636814 w 2500127"/>
              <a:gd name="connsiteY158" fmla="*/ 647700 h 3450772"/>
              <a:gd name="connsiteX159" fmla="*/ 658585 w 2500127"/>
              <a:gd name="connsiteY159" fmla="*/ 674914 h 3450772"/>
              <a:gd name="connsiteX160" fmla="*/ 772885 w 2500127"/>
              <a:gd name="connsiteY160" fmla="*/ 615043 h 3450772"/>
              <a:gd name="connsiteX161" fmla="*/ 745671 w 2500127"/>
              <a:gd name="connsiteY161" fmla="*/ 582386 h 3450772"/>
              <a:gd name="connsiteX162" fmla="*/ 740228 w 2500127"/>
              <a:gd name="connsiteY162" fmla="*/ 506186 h 3450772"/>
              <a:gd name="connsiteX163" fmla="*/ 702128 w 2500127"/>
              <a:gd name="connsiteY163" fmla="*/ 353786 h 3450772"/>
              <a:gd name="connsiteX164" fmla="*/ 685800 w 2500127"/>
              <a:gd name="connsiteY164" fmla="*/ 277586 h 3450772"/>
              <a:gd name="connsiteX165" fmla="*/ 674914 w 2500127"/>
              <a:gd name="connsiteY165" fmla="*/ 244929 h 3450772"/>
              <a:gd name="connsiteX166" fmla="*/ 615042 w 2500127"/>
              <a:gd name="connsiteY166" fmla="*/ 179614 h 3450772"/>
              <a:gd name="connsiteX167" fmla="*/ 604157 w 2500127"/>
              <a:gd name="connsiteY167" fmla="*/ 136072 h 3450772"/>
              <a:gd name="connsiteX168" fmla="*/ 598714 w 2500127"/>
              <a:gd name="connsiteY168" fmla="*/ 130629 h 3450772"/>
              <a:gd name="connsiteX169" fmla="*/ 734785 w 2500127"/>
              <a:gd name="connsiteY169" fmla="*/ 125186 h 3450772"/>
              <a:gd name="connsiteX170" fmla="*/ 745671 w 2500127"/>
              <a:gd name="connsiteY170" fmla="*/ 125186 h 3450772"/>
              <a:gd name="connsiteX171" fmla="*/ 810985 w 2500127"/>
              <a:gd name="connsiteY171" fmla="*/ 59872 h 3450772"/>
              <a:gd name="connsiteX172" fmla="*/ 985157 w 2500127"/>
              <a:gd name="connsiteY172" fmla="*/ 43543 h 3450772"/>
              <a:gd name="connsiteX173" fmla="*/ 1017814 w 2500127"/>
              <a:gd name="connsiteY173" fmla="*/ 81643 h 3450772"/>
              <a:gd name="connsiteX174" fmla="*/ 1126671 w 2500127"/>
              <a:gd name="connsiteY174"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24100 w 2500127"/>
              <a:gd name="connsiteY29" fmla="*/ 658586 h 3450772"/>
              <a:gd name="connsiteX30" fmla="*/ 2427514 w 2500127"/>
              <a:gd name="connsiteY30" fmla="*/ 701230 h 3450772"/>
              <a:gd name="connsiteX31" fmla="*/ 2472913 w 2500127"/>
              <a:gd name="connsiteY31" fmla="*/ 821872 h 3450772"/>
              <a:gd name="connsiteX32" fmla="*/ 2460171 w 2500127"/>
              <a:gd name="connsiteY32" fmla="*/ 865414 h 3450772"/>
              <a:gd name="connsiteX33" fmla="*/ 2477477 w 2500127"/>
              <a:gd name="connsiteY33" fmla="*/ 881233 h 3450772"/>
              <a:gd name="connsiteX34" fmla="*/ 2500127 w 2500127"/>
              <a:gd name="connsiteY34" fmla="*/ 952500 h 3450772"/>
              <a:gd name="connsiteX35" fmla="*/ 2380384 w 2500127"/>
              <a:gd name="connsiteY35" fmla="*/ 1072244 h 3450772"/>
              <a:gd name="connsiteX36" fmla="*/ 2440256 w 2500127"/>
              <a:gd name="connsiteY36" fmla="*/ 1143000 h 3450772"/>
              <a:gd name="connsiteX37" fmla="*/ 2460831 w 2500127"/>
              <a:gd name="connsiteY37" fmla="*/ 1208314 h 3450772"/>
              <a:gd name="connsiteX38" fmla="*/ 2427514 w 2500127"/>
              <a:gd name="connsiteY38" fmla="*/ 1257300 h 3450772"/>
              <a:gd name="connsiteX39" fmla="*/ 2462027 w 2500127"/>
              <a:gd name="connsiteY39" fmla="*/ 1420586 h 3450772"/>
              <a:gd name="connsiteX40" fmla="*/ 2383971 w 2500127"/>
              <a:gd name="connsiteY40" fmla="*/ 1404257 h 3450772"/>
              <a:gd name="connsiteX41" fmla="*/ 2373085 w 2500127"/>
              <a:gd name="connsiteY41" fmla="*/ 1415143 h 3450772"/>
              <a:gd name="connsiteX42" fmla="*/ 2362200 w 2500127"/>
              <a:gd name="connsiteY42" fmla="*/ 1447800 h 3450772"/>
              <a:gd name="connsiteX43" fmla="*/ 2258785 w 2500127"/>
              <a:gd name="connsiteY43" fmla="*/ 1562100 h 3450772"/>
              <a:gd name="connsiteX44" fmla="*/ 2275114 w 2500127"/>
              <a:gd name="connsiteY44" fmla="*/ 1594757 h 3450772"/>
              <a:gd name="connsiteX45" fmla="*/ 2247900 w 2500127"/>
              <a:gd name="connsiteY45" fmla="*/ 1627414 h 3450772"/>
              <a:gd name="connsiteX46" fmla="*/ 2247900 w 2500127"/>
              <a:gd name="connsiteY46" fmla="*/ 1676400 h 3450772"/>
              <a:gd name="connsiteX47" fmla="*/ 2215242 w 2500127"/>
              <a:gd name="connsiteY47" fmla="*/ 1692729 h 3450772"/>
              <a:gd name="connsiteX48" fmla="*/ 2209800 w 2500127"/>
              <a:gd name="connsiteY48" fmla="*/ 1741714 h 3450772"/>
              <a:gd name="connsiteX49" fmla="*/ 2198914 w 2500127"/>
              <a:gd name="connsiteY49" fmla="*/ 1763486 h 3450772"/>
              <a:gd name="connsiteX50" fmla="*/ 2106385 w 2500127"/>
              <a:gd name="connsiteY50" fmla="*/ 1763486 h 3450772"/>
              <a:gd name="connsiteX51" fmla="*/ 2046514 w 2500127"/>
              <a:gd name="connsiteY51" fmla="*/ 1779814 h 3450772"/>
              <a:gd name="connsiteX52" fmla="*/ 1943100 w 2500127"/>
              <a:gd name="connsiteY52" fmla="*/ 1714500 h 3450772"/>
              <a:gd name="connsiteX53" fmla="*/ 1845128 w 2500127"/>
              <a:gd name="connsiteY53" fmla="*/ 1714500 h 3450772"/>
              <a:gd name="connsiteX54" fmla="*/ 1823357 w 2500127"/>
              <a:gd name="connsiteY54" fmla="*/ 1845129 h 3450772"/>
              <a:gd name="connsiteX55" fmla="*/ 1768928 w 2500127"/>
              <a:gd name="connsiteY55" fmla="*/ 1888672 h 3450772"/>
              <a:gd name="connsiteX56" fmla="*/ 1763485 w 2500127"/>
              <a:gd name="connsiteY56" fmla="*/ 1937657 h 3450772"/>
              <a:gd name="connsiteX57" fmla="*/ 1714500 w 2500127"/>
              <a:gd name="connsiteY57" fmla="*/ 1959429 h 3450772"/>
              <a:gd name="connsiteX58" fmla="*/ 1621971 w 2500127"/>
              <a:gd name="connsiteY58" fmla="*/ 2073729 h 3450772"/>
              <a:gd name="connsiteX59" fmla="*/ 1589314 w 2500127"/>
              <a:gd name="connsiteY59" fmla="*/ 2100943 h 3450772"/>
              <a:gd name="connsiteX60" fmla="*/ 1616528 w 2500127"/>
              <a:gd name="connsiteY60" fmla="*/ 2220686 h 3450772"/>
              <a:gd name="connsiteX61" fmla="*/ 1529442 w 2500127"/>
              <a:gd name="connsiteY61" fmla="*/ 2253343 h 3450772"/>
              <a:gd name="connsiteX62" fmla="*/ 1534885 w 2500127"/>
              <a:gd name="connsiteY62" fmla="*/ 2280557 h 3450772"/>
              <a:gd name="connsiteX63" fmla="*/ 1524000 w 2500127"/>
              <a:gd name="connsiteY63" fmla="*/ 2291443 h 3450772"/>
              <a:gd name="connsiteX64" fmla="*/ 1556657 w 2500127"/>
              <a:gd name="connsiteY64" fmla="*/ 2307772 h 3450772"/>
              <a:gd name="connsiteX65" fmla="*/ 1507671 w 2500127"/>
              <a:gd name="connsiteY65" fmla="*/ 2383972 h 3450772"/>
              <a:gd name="connsiteX66" fmla="*/ 1524000 w 2500127"/>
              <a:gd name="connsiteY66" fmla="*/ 2416629 h 3450772"/>
              <a:gd name="connsiteX67" fmla="*/ 1485900 w 2500127"/>
              <a:gd name="connsiteY67" fmla="*/ 2411186 h 3450772"/>
              <a:gd name="connsiteX68" fmla="*/ 1442357 w 2500127"/>
              <a:gd name="connsiteY68" fmla="*/ 2481943 h 3450772"/>
              <a:gd name="connsiteX69" fmla="*/ 1382485 w 2500127"/>
              <a:gd name="connsiteY69" fmla="*/ 2492829 h 3450772"/>
              <a:gd name="connsiteX70" fmla="*/ 1295400 w 2500127"/>
              <a:gd name="connsiteY70" fmla="*/ 2471057 h 3450772"/>
              <a:gd name="connsiteX71" fmla="*/ 1246414 w 2500127"/>
              <a:gd name="connsiteY71" fmla="*/ 2503714 h 3450772"/>
              <a:gd name="connsiteX72" fmla="*/ 1208314 w 2500127"/>
              <a:gd name="connsiteY72" fmla="*/ 2509157 h 3450772"/>
              <a:gd name="connsiteX73" fmla="*/ 1132114 w 2500127"/>
              <a:gd name="connsiteY73" fmla="*/ 2509157 h 3450772"/>
              <a:gd name="connsiteX74" fmla="*/ 1121228 w 2500127"/>
              <a:gd name="connsiteY74" fmla="*/ 2503714 h 3450772"/>
              <a:gd name="connsiteX75" fmla="*/ 1104900 w 2500127"/>
              <a:gd name="connsiteY75" fmla="*/ 2541814 h 3450772"/>
              <a:gd name="connsiteX76" fmla="*/ 1066800 w 2500127"/>
              <a:gd name="connsiteY76" fmla="*/ 2530929 h 3450772"/>
              <a:gd name="connsiteX77" fmla="*/ 1034142 w 2500127"/>
              <a:gd name="connsiteY77" fmla="*/ 2585357 h 3450772"/>
              <a:gd name="connsiteX78" fmla="*/ 1012371 w 2500127"/>
              <a:gd name="connsiteY78" fmla="*/ 2547257 h 3450772"/>
              <a:gd name="connsiteX79" fmla="*/ 892628 w 2500127"/>
              <a:gd name="connsiteY79" fmla="*/ 2585357 h 3450772"/>
              <a:gd name="connsiteX80" fmla="*/ 887185 w 2500127"/>
              <a:gd name="connsiteY80" fmla="*/ 2590800 h 3450772"/>
              <a:gd name="connsiteX81" fmla="*/ 898071 w 2500127"/>
              <a:gd name="connsiteY81" fmla="*/ 2661557 h 3450772"/>
              <a:gd name="connsiteX82" fmla="*/ 838200 w 2500127"/>
              <a:gd name="connsiteY82" fmla="*/ 2786743 h 3450772"/>
              <a:gd name="connsiteX83" fmla="*/ 854528 w 2500127"/>
              <a:gd name="connsiteY83" fmla="*/ 2830286 h 3450772"/>
              <a:gd name="connsiteX84" fmla="*/ 936171 w 2500127"/>
              <a:gd name="connsiteY84" fmla="*/ 2824843 h 3450772"/>
              <a:gd name="connsiteX85" fmla="*/ 979714 w 2500127"/>
              <a:gd name="connsiteY85" fmla="*/ 2906486 h 3450772"/>
              <a:gd name="connsiteX86" fmla="*/ 985157 w 2500127"/>
              <a:gd name="connsiteY86" fmla="*/ 2911929 h 3450772"/>
              <a:gd name="connsiteX87" fmla="*/ 985157 w 2500127"/>
              <a:gd name="connsiteY87" fmla="*/ 2911929 h 3450772"/>
              <a:gd name="connsiteX88" fmla="*/ 1001485 w 2500127"/>
              <a:gd name="connsiteY88" fmla="*/ 2960914 h 3450772"/>
              <a:gd name="connsiteX89" fmla="*/ 1006928 w 2500127"/>
              <a:gd name="connsiteY89" fmla="*/ 3048000 h 3450772"/>
              <a:gd name="connsiteX90" fmla="*/ 979714 w 2500127"/>
              <a:gd name="connsiteY90" fmla="*/ 3053443 h 3450772"/>
              <a:gd name="connsiteX91" fmla="*/ 974271 w 2500127"/>
              <a:gd name="connsiteY91" fmla="*/ 3053443 h 3450772"/>
              <a:gd name="connsiteX92" fmla="*/ 985157 w 2500127"/>
              <a:gd name="connsiteY92" fmla="*/ 3086100 h 3450772"/>
              <a:gd name="connsiteX93" fmla="*/ 881742 w 2500127"/>
              <a:gd name="connsiteY93" fmla="*/ 3216729 h 3450772"/>
              <a:gd name="connsiteX94" fmla="*/ 892628 w 2500127"/>
              <a:gd name="connsiteY94" fmla="*/ 3260272 h 3450772"/>
              <a:gd name="connsiteX95" fmla="*/ 849085 w 2500127"/>
              <a:gd name="connsiteY95" fmla="*/ 3276600 h 3450772"/>
              <a:gd name="connsiteX96" fmla="*/ 827314 w 2500127"/>
              <a:gd name="connsiteY96" fmla="*/ 3320143 h 3450772"/>
              <a:gd name="connsiteX97" fmla="*/ 810985 w 2500127"/>
              <a:gd name="connsiteY97" fmla="*/ 3369129 h 3450772"/>
              <a:gd name="connsiteX98" fmla="*/ 805542 w 2500127"/>
              <a:gd name="connsiteY98" fmla="*/ 3407229 h 3450772"/>
              <a:gd name="connsiteX99" fmla="*/ 805542 w 2500127"/>
              <a:gd name="connsiteY99" fmla="*/ 3423557 h 3450772"/>
              <a:gd name="connsiteX100" fmla="*/ 800100 w 2500127"/>
              <a:gd name="connsiteY100" fmla="*/ 3418114 h 3450772"/>
              <a:gd name="connsiteX101" fmla="*/ 778328 w 2500127"/>
              <a:gd name="connsiteY101" fmla="*/ 3418114 h 3450772"/>
              <a:gd name="connsiteX102" fmla="*/ 740228 w 2500127"/>
              <a:gd name="connsiteY102" fmla="*/ 3445329 h 3450772"/>
              <a:gd name="connsiteX103" fmla="*/ 702128 w 2500127"/>
              <a:gd name="connsiteY103" fmla="*/ 3434443 h 3450772"/>
              <a:gd name="connsiteX104" fmla="*/ 702128 w 2500127"/>
              <a:gd name="connsiteY104" fmla="*/ 3434443 h 3450772"/>
              <a:gd name="connsiteX105" fmla="*/ 664028 w 2500127"/>
              <a:gd name="connsiteY105" fmla="*/ 3450772 h 3450772"/>
              <a:gd name="connsiteX106" fmla="*/ 571500 w 2500127"/>
              <a:gd name="connsiteY106" fmla="*/ 3380014 h 3450772"/>
              <a:gd name="connsiteX107" fmla="*/ 533400 w 2500127"/>
              <a:gd name="connsiteY107" fmla="*/ 3309257 h 3450772"/>
              <a:gd name="connsiteX108" fmla="*/ 462642 w 2500127"/>
              <a:gd name="connsiteY108" fmla="*/ 3303814 h 3450772"/>
              <a:gd name="connsiteX109" fmla="*/ 277585 w 2500127"/>
              <a:gd name="connsiteY109" fmla="*/ 3243943 h 3450772"/>
              <a:gd name="connsiteX110" fmla="*/ 266700 w 2500127"/>
              <a:gd name="connsiteY110" fmla="*/ 3194957 h 3450772"/>
              <a:gd name="connsiteX111" fmla="*/ 228600 w 2500127"/>
              <a:gd name="connsiteY111" fmla="*/ 3194957 h 3450772"/>
              <a:gd name="connsiteX112" fmla="*/ 223157 w 2500127"/>
              <a:gd name="connsiteY112" fmla="*/ 3216729 h 3450772"/>
              <a:gd name="connsiteX113" fmla="*/ 223157 w 2500127"/>
              <a:gd name="connsiteY113" fmla="*/ 3243943 h 3450772"/>
              <a:gd name="connsiteX114" fmla="*/ 190500 w 2500127"/>
              <a:gd name="connsiteY114" fmla="*/ 3233057 h 3450772"/>
              <a:gd name="connsiteX115" fmla="*/ 163285 w 2500127"/>
              <a:gd name="connsiteY115" fmla="*/ 3211286 h 3450772"/>
              <a:gd name="connsiteX116" fmla="*/ 152400 w 2500127"/>
              <a:gd name="connsiteY116" fmla="*/ 3194957 h 3450772"/>
              <a:gd name="connsiteX117" fmla="*/ 174171 w 2500127"/>
              <a:gd name="connsiteY117" fmla="*/ 3151414 h 3450772"/>
              <a:gd name="connsiteX118" fmla="*/ 201385 w 2500127"/>
              <a:gd name="connsiteY118" fmla="*/ 3102429 h 3450772"/>
              <a:gd name="connsiteX119" fmla="*/ 185057 w 2500127"/>
              <a:gd name="connsiteY119" fmla="*/ 3064329 h 3450772"/>
              <a:gd name="connsiteX120" fmla="*/ 185057 w 2500127"/>
              <a:gd name="connsiteY120" fmla="*/ 3042557 h 3450772"/>
              <a:gd name="connsiteX121" fmla="*/ 125185 w 2500127"/>
              <a:gd name="connsiteY121" fmla="*/ 3042557 h 3450772"/>
              <a:gd name="connsiteX122" fmla="*/ 103414 w 2500127"/>
              <a:gd name="connsiteY122" fmla="*/ 3031672 h 3450772"/>
              <a:gd name="connsiteX123" fmla="*/ 70757 w 2500127"/>
              <a:gd name="connsiteY123" fmla="*/ 3058886 h 3450772"/>
              <a:gd name="connsiteX124" fmla="*/ 65314 w 2500127"/>
              <a:gd name="connsiteY124" fmla="*/ 3020786 h 3450772"/>
              <a:gd name="connsiteX125" fmla="*/ 0 w 2500127"/>
              <a:gd name="connsiteY125" fmla="*/ 2982686 h 3450772"/>
              <a:gd name="connsiteX126" fmla="*/ 54428 w 2500127"/>
              <a:gd name="connsiteY126" fmla="*/ 2933700 h 3450772"/>
              <a:gd name="connsiteX127" fmla="*/ 179614 w 2500127"/>
              <a:gd name="connsiteY127" fmla="*/ 2770414 h 3450772"/>
              <a:gd name="connsiteX128" fmla="*/ 326571 w 2500127"/>
              <a:gd name="connsiteY128" fmla="*/ 2122714 h 3450772"/>
              <a:gd name="connsiteX129" fmla="*/ 315685 w 2500127"/>
              <a:gd name="connsiteY129" fmla="*/ 2046514 h 3450772"/>
              <a:gd name="connsiteX130" fmla="*/ 359228 w 2500127"/>
              <a:gd name="connsiteY130" fmla="*/ 1964872 h 3450772"/>
              <a:gd name="connsiteX131" fmla="*/ 435428 w 2500127"/>
              <a:gd name="connsiteY131" fmla="*/ 1970314 h 3450772"/>
              <a:gd name="connsiteX132" fmla="*/ 440871 w 2500127"/>
              <a:gd name="connsiteY132" fmla="*/ 1937657 h 3450772"/>
              <a:gd name="connsiteX133" fmla="*/ 391885 w 2500127"/>
              <a:gd name="connsiteY133" fmla="*/ 1883229 h 3450772"/>
              <a:gd name="connsiteX134" fmla="*/ 386442 w 2500127"/>
              <a:gd name="connsiteY134" fmla="*/ 1872343 h 3450772"/>
              <a:gd name="connsiteX135" fmla="*/ 326571 w 2500127"/>
              <a:gd name="connsiteY135" fmla="*/ 1948543 h 3450772"/>
              <a:gd name="connsiteX136" fmla="*/ 408214 w 2500127"/>
              <a:gd name="connsiteY136" fmla="*/ 1338943 h 3450772"/>
              <a:gd name="connsiteX137" fmla="*/ 446314 w 2500127"/>
              <a:gd name="connsiteY137" fmla="*/ 1251857 h 3450772"/>
              <a:gd name="connsiteX138" fmla="*/ 462642 w 2500127"/>
              <a:gd name="connsiteY138" fmla="*/ 1300843 h 3450772"/>
              <a:gd name="connsiteX139" fmla="*/ 582385 w 2500127"/>
              <a:gd name="connsiteY139" fmla="*/ 1409700 h 3450772"/>
              <a:gd name="connsiteX140" fmla="*/ 620485 w 2500127"/>
              <a:gd name="connsiteY140" fmla="*/ 1513114 h 3450772"/>
              <a:gd name="connsiteX141" fmla="*/ 653142 w 2500127"/>
              <a:gd name="connsiteY141" fmla="*/ 1464129 h 3450772"/>
              <a:gd name="connsiteX142" fmla="*/ 625928 w 2500127"/>
              <a:gd name="connsiteY142" fmla="*/ 1344386 h 3450772"/>
              <a:gd name="connsiteX143" fmla="*/ 484414 w 2500127"/>
              <a:gd name="connsiteY143" fmla="*/ 1197429 h 3450772"/>
              <a:gd name="connsiteX144" fmla="*/ 435428 w 2500127"/>
              <a:gd name="connsiteY144" fmla="*/ 1164772 h 3450772"/>
              <a:gd name="connsiteX145" fmla="*/ 381000 w 2500127"/>
              <a:gd name="connsiteY145" fmla="*/ 1137557 h 3450772"/>
              <a:gd name="connsiteX146" fmla="*/ 370114 w 2500127"/>
              <a:gd name="connsiteY146" fmla="*/ 1083129 h 3450772"/>
              <a:gd name="connsiteX147" fmla="*/ 424542 w 2500127"/>
              <a:gd name="connsiteY147" fmla="*/ 1050472 h 3450772"/>
              <a:gd name="connsiteX148" fmla="*/ 468085 w 2500127"/>
              <a:gd name="connsiteY148" fmla="*/ 968829 h 3450772"/>
              <a:gd name="connsiteX149" fmla="*/ 446314 w 2500127"/>
              <a:gd name="connsiteY149" fmla="*/ 892629 h 3450772"/>
              <a:gd name="connsiteX150" fmla="*/ 446314 w 2500127"/>
              <a:gd name="connsiteY150" fmla="*/ 892629 h 3450772"/>
              <a:gd name="connsiteX151" fmla="*/ 478971 w 2500127"/>
              <a:gd name="connsiteY151" fmla="*/ 881743 h 3450772"/>
              <a:gd name="connsiteX152" fmla="*/ 424542 w 2500127"/>
              <a:gd name="connsiteY152" fmla="*/ 789214 h 3450772"/>
              <a:gd name="connsiteX153" fmla="*/ 386442 w 2500127"/>
              <a:gd name="connsiteY153" fmla="*/ 778329 h 3450772"/>
              <a:gd name="connsiteX154" fmla="*/ 429985 w 2500127"/>
              <a:gd name="connsiteY154" fmla="*/ 685800 h 3450772"/>
              <a:gd name="connsiteX155" fmla="*/ 451757 w 2500127"/>
              <a:gd name="connsiteY155" fmla="*/ 658586 h 3450772"/>
              <a:gd name="connsiteX156" fmla="*/ 560614 w 2500127"/>
              <a:gd name="connsiteY156" fmla="*/ 620486 h 3450772"/>
              <a:gd name="connsiteX157" fmla="*/ 560614 w 2500127"/>
              <a:gd name="connsiteY157" fmla="*/ 620486 h 3450772"/>
              <a:gd name="connsiteX158" fmla="*/ 636814 w 2500127"/>
              <a:gd name="connsiteY158" fmla="*/ 647700 h 3450772"/>
              <a:gd name="connsiteX159" fmla="*/ 658585 w 2500127"/>
              <a:gd name="connsiteY159" fmla="*/ 674914 h 3450772"/>
              <a:gd name="connsiteX160" fmla="*/ 772885 w 2500127"/>
              <a:gd name="connsiteY160" fmla="*/ 615043 h 3450772"/>
              <a:gd name="connsiteX161" fmla="*/ 745671 w 2500127"/>
              <a:gd name="connsiteY161" fmla="*/ 582386 h 3450772"/>
              <a:gd name="connsiteX162" fmla="*/ 740228 w 2500127"/>
              <a:gd name="connsiteY162" fmla="*/ 506186 h 3450772"/>
              <a:gd name="connsiteX163" fmla="*/ 702128 w 2500127"/>
              <a:gd name="connsiteY163" fmla="*/ 353786 h 3450772"/>
              <a:gd name="connsiteX164" fmla="*/ 685800 w 2500127"/>
              <a:gd name="connsiteY164" fmla="*/ 277586 h 3450772"/>
              <a:gd name="connsiteX165" fmla="*/ 674914 w 2500127"/>
              <a:gd name="connsiteY165" fmla="*/ 244929 h 3450772"/>
              <a:gd name="connsiteX166" fmla="*/ 615042 w 2500127"/>
              <a:gd name="connsiteY166" fmla="*/ 179614 h 3450772"/>
              <a:gd name="connsiteX167" fmla="*/ 604157 w 2500127"/>
              <a:gd name="connsiteY167" fmla="*/ 136072 h 3450772"/>
              <a:gd name="connsiteX168" fmla="*/ 598714 w 2500127"/>
              <a:gd name="connsiteY168" fmla="*/ 130629 h 3450772"/>
              <a:gd name="connsiteX169" fmla="*/ 734785 w 2500127"/>
              <a:gd name="connsiteY169" fmla="*/ 125186 h 3450772"/>
              <a:gd name="connsiteX170" fmla="*/ 745671 w 2500127"/>
              <a:gd name="connsiteY170" fmla="*/ 125186 h 3450772"/>
              <a:gd name="connsiteX171" fmla="*/ 810985 w 2500127"/>
              <a:gd name="connsiteY171" fmla="*/ 59872 h 3450772"/>
              <a:gd name="connsiteX172" fmla="*/ 985157 w 2500127"/>
              <a:gd name="connsiteY172" fmla="*/ 43543 h 3450772"/>
              <a:gd name="connsiteX173" fmla="*/ 1017814 w 2500127"/>
              <a:gd name="connsiteY173" fmla="*/ 81643 h 3450772"/>
              <a:gd name="connsiteX174" fmla="*/ 1126671 w 2500127"/>
              <a:gd name="connsiteY174"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60171 w 2500127"/>
              <a:gd name="connsiteY32" fmla="*/ 865414 h 3450772"/>
              <a:gd name="connsiteX33" fmla="*/ 2477477 w 2500127"/>
              <a:gd name="connsiteY33" fmla="*/ 881233 h 3450772"/>
              <a:gd name="connsiteX34" fmla="*/ 2500127 w 2500127"/>
              <a:gd name="connsiteY34" fmla="*/ 952500 h 3450772"/>
              <a:gd name="connsiteX35" fmla="*/ 2380384 w 2500127"/>
              <a:gd name="connsiteY35" fmla="*/ 1072244 h 3450772"/>
              <a:gd name="connsiteX36" fmla="*/ 2440256 w 2500127"/>
              <a:gd name="connsiteY36" fmla="*/ 1143000 h 3450772"/>
              <a:gd name="connsiteX37" fmla="*/ 2460831 w 2500127"/>
              <a:gd name="connsiteY37" fmla="*/ 1208314 h 3450772"/>
              <a:gd name="connsiteX38" fmla="*/ 2427514 w 2500127"/>
              <a:gd name="connsiteY38" fmla="*/ 1257300 h 3450772"/>
              <a:gd name="connsiteX39" fmla="*/ 2462027 w 2500127"/>
              <a:gd name="connsiteY39" fmla="*/ 1420586 h 3450772"/>
              <a:gd name="connsiteX40" fmla="*/ 2383971 w 2500127"/>
              <a:gd name="connsiteY40" fmla="*/ 1404257 h 3450772"/>
              <a:gd name="connsiteX41" fmla="*/ 2373085 w 2500127"/>
              <a:gd name="connsiteY41" fmla="*/ 1415143 h 3450772"/>
              <a:gd name="connsiteX42" fmla="*/ 2362200 w 2500127"/>
              <a:gd name="connsiteY42" fmla="*/ 1447800 h 3450772"/>
              <a:gd name="connsiteX43" fmla="*/ 2258785 w 2500127"/>
              <a:gd name="connsiteY43" fmla="*/ 1562100 h 3450772"/>
              <a:gd name="connsiteX44" fmla="*/ 2275114 w 2500127"/>
              <a:gd name="connsiteY44" fmla="*/ 1594757 h 3450772"/>
              <a:gd name="connsiteX45" fmla="*/ 2247900 w 2500127"/>
              <a:gd name="connsiteY45" fmla="*/ 1627414 h 3450772"/>
              <a:gd name="connsiteX46" fmla="*/ 2247900 w 2500127"/>
              <a:gd name="connsiteY46" fmla="*/ 1676400 h 3450772"/>
              <a:gd name="connsiteX47" fmla="*/ 2215242 w 2500127"/>
              <a:gd name="connsiteY47" fmla="*/ 1692729 h 3450772"/>
              <a:gd name="connsiteX48" fmla="*/ 2209800 w 2500127"/>
              <a:gd name="connsiteY48" fmla="*/ 1741714 h 3450772"/>
              <a:gd name="connsiteX49" fmla="*/ 2198914 w 2500127"/>
              <a:gd name="connsiteY49" fmla="*/ 1763486 h 3450772"/>
              <a:gd name="connsiteX50" fmla="*/ 2106385 w 2500127"/>
              <a:gd name="connsiteY50" fmla="*/ 1763486 h 3450772"/>
              <a:gd name="connsiteX51" fmla="*/ 2046514 w 2500127"/>
              <a:gd name="connsiteY51" fmla="*/ 1779814 h 3450772"/>
              <a:gd name="connsiteX52" fmla="*/ 1943100 w 2500127"/>
              <a:gd name="connsiteY52" fmla="*/ 1714500 h 3450772"/>
              <a:gd name="connsiteX53" fmla="*/ 1845128 w 2500127"/>
              <a:gd name="connsiteY53" fmla="*/ 1714500 h 3450772"/>
              <a:gd name="connsiteX54" fmla="*/ 1823357 w 2500127"/>
              <a:gd name="connsiteY54" fmla="*/ 1845129 h 3450772"/>
              <a:gd name="connsiteX55" fmla="*/ 1768928 w 2500127"/>
              <a:gd name="connsiteY55" fmla="*/ 1888672 h 3450772"/>
              <a:gd name="connsiteX56" fmla="*/ 1763485 w 2500127"/>
              <a:gd name="connsiteY56" fmla="*/ 1937657 h 3450772"/>
              <a:gd name="connsiteX57" fmla="*/ 1714500 w 2500127"/>
              <a:gd name="connsiteY57" fmla="*/ 1959429 h 3450772"/>
              <a:gd name="connsiteX58" fmla="*/ 1621971 w 2500127"/>
              <a:gd name="connsiteY58" fmla="*/ 2073729 h 3450772"/>
              <a:gd name="connsiteX59" fmla="*/ 1589314 w 2500127"/>
              <a:gd name="connsiteY59" fmla="*/ 2100943 h 3450772"/>
              <a:gd name="connsiteX60" fmla="*/ 1616528 w 2500127"/>
              <a:gd name="connsiteY60" fmla="*/ 2220686 h 3450772"/>
              <a:gd name="connsiteX61" fmla="*/ 1529442 w 2500127"/>
              <a:gd name="connsiteY61" fmla="*/ 2253343 h 3450772"/>
              <a:gd name="connsiteX62" fmla="*/ 1534885 w 2500127"/>
              <a:gd name="connsiteY62" fmla="*/ 2280557 h 3450772"/>
              <a:gd name="connsiteX63" fmla="*/ 1524000 w 2500127"/>
              <a:gd name="connsiteY63" fmla="*/ 2291443 h 3450772"/>
              <a:gd name="connsiteX64" fmla="*/ 1556657 w 2500127"/>
              <a:gd name="connsiteY64" fmla="*/ 2307772 h 3450772"/>
              <a:gd name="connsiteX65" fmla="*/ 1507671 w 2500127"/>
              <a:gd name="connsiteY65" fmla="*/ 2383972 h 3450772"/>
              <a:gd name="connsiteX66" fmla="*/ 1524000 w 2500127"/>
              <a:gd name="connsiteY66" fmla="*/ 2416629 h 3450772"/>
              <a:gd name="connsiteX67" fmla="*/ 1485900 w 2500127"/>
              <a:gd name="connsiteY67" fmla="*/ 2411186 h 3450772"/>
              <a:gd name="connsiteX68" fmla="*/ 1442357 w 2500127"/>
              <a:gd name="connsiteY68" fmla="*/ 2481943 h 3450772"/>
              <a:gd name="connsiteX69" fmla="*/ 1382485 w 2500127"/>
              <a:gd name="connsiteY69" fmla="*/ 2492829 h 3450772"/>
              <a:gd name="connsiteX70" fmla="*/ 1295400 w 2500127"/>
              <a:gd name="connsiteY70" fmla="*/ 2471057 h 3450772"/>
              <a:gd name="connsiteX71" fmla="*/ 1246414 w 2500127"/>
              <a:gd name="connsiteY71" fmla="*/ 2503714 h 3450772"/>
              <a:gd name="connsiteX72" fmla="*/ 1208314 w 2500127"/>
              <a:gd name="connsiteY72" fmla="*/ 2509157 h 3450772"/>
              <a:gd name="connsiteX73" fmla="*/ 1132114 w 2500127"/>
              <a:gd name="connsiteY73" fmla="*/ 2509157 h 3450772"/>
              <a:gd name="connsiteX74" fmla="*/ 1121228 w 2500127"/>
              <a:gd name="connsiteY74" fmla="*/ 2503714 h 3450772"/>
              <a:gd name="connsiteX75" fmla="*/ 1104900 w 2500127"/>
              <a:gd name="connsiteY75" fmla="*/ 2541814 h 3450772"/>
              <a:gd name="connsiteX76" fmla="*/ 1066800 w 2500127"/>
              <a:gd name="connsiteY76" fmla="*/ 2530929 h 3450772"/>
              <a:gd name="connsiteX77" fmla="*/ 1034142 w 2500127"/>
              <a:gd name="connsiteY77" fmla="*/ 2585357 h 3450772"/>
              <a:gd name="connsiteX78" fmla="*/ 1012371 w 2500127"/>
              <a:gd name="connsiteY78" fmla="*/ 2547257 h 3450772"/>
              <a:gd name="connsiteX79" fmla="*/ 892628 w 2500127"/>
              <a:gd name="connsiteY79" fmla="*/ 2585357 h 3450772"/>
              <a:gd name="connsiteX80" fmla="*/ 887185 w 2500127"/>
              <a:gd name="connsiteY80" fmla="*/ 2590800 h 3450772"/>
              <a:gd name="connsiteX81" fmla="*/ 898071 w 2500127"/>
              <a:gd name="connsiteY81" fmla="*/ 2661557 h 3450772"/>
              <a:gd name="connsiteX82" fmla="*/ 838200 w 2500127"/>
              <a:gd name="connsiteY82" fmla="*/ 2786743 h 3450772"/>
              <a:gd name="connsiteX83" fmla="*/ 854528 w 2500127"/>
              <a:gd name="connsiteY83" fmla="*/ 2830286 h 3450772"/>
              <a:gd name="connsiteX84" fmla="*/ 936171 w 2500127"/>
              <a:gd name="connsiteY84" fmla="*/ 2824843 h 3450772"/>
              <a:gd name="connsiteX85" fmla="*/ 979714 w 2500127"/>
              <a:gd name="connsiteY85" fmla="*/ 2906486 h 3450772"/>
              <a:gd name="connsiteX86" fmla="*/ 985157 w 2500127"/>
              <a:gd name="connsiteY86" fmla="*/ 2911929 h 3450772"/>
              <a:gd name="connsiteX87" fmla="*/ 985157 w 2500127"/>
              <a:gd name="connsiteY87" fmla="*/ 2911929 h 3450772"/>
              <a:gd name="connsiteX88" fmla="*/ 1001485 w 2500127"/>
              <a:gd name="connsiteY88" fmla="*/ 2960914 h 3450772"/>
              <a:gd name="connsiteX89" fmla="*/ 1006928 w 2500127"/>
              <a:gd name="connsiteY89" fmla="*/ 3048000 h 3450772"/>
              <a:gd name="connsiteX90" fmla="*/ 979714 w 2500127"/>
              <a:gd name="connsiteY90" fmla="*/ 3053443 h 3450772"/>
              <a:gd name="connsiteX91" fmla="*/ 974271 w 2500127"/>
              <a:gd name="connsiteY91" fmla="*/ 3053443 h 3450772"/>
              <a:gd name="connsiteX92" fmla="*/ 985157 w 2500127"/>
              <a:gd name="connsiteY92" fmla="*/ 3086100 h 3450772"/>
              <a:gd name="connsiteX93" fmla="*/ 881742 w 2500127"/>
              <a:gd name="connsiteY93" fmla="*/ 3216729 h 3450772"/>
              <a:gd name="connsiteX94" fmla="*/ 892628 w 2500127"/>
              <a:gd name="connsiteY94" fmla="*/ 3260272 h 3450772"/>
              <a:gd name="connsiteX95" fmla="*/ 849085 w 2500127"/>
              <a:gd name="connsiteY95" fmla="*/ 3276600 h 3450772"/>
              <a:gd name="connsiteX96" fmla="*/ 827314 w 2500127"/>
              <a:gd name="connsiteY96" fmla="*/ 3320143 h 3450772"/>
              <a:gd name="connsiteX97" fmla="*/ 810985 w 2500127"/>
              <a:gd name="connsiteY97" fmla="*/ 3369129 h 3450772"/>
              <a:gd name="connsiteX98" fmla="*/ 805542 w 2500127"/>
              <a:gd name="connsiteY98" fmla="*/ 3407229 h 3450772"/>
              <a:gd name="connsiteX99" fmla="*/ 805542 w 2500127"/>
              <a:gd name="connsiteY99" fmla="*/ 3423557 h 3450772"/>
              <a:gd name="connsiteX100" fmla="*/ 800100 w 2500127"/>
              <a:gd name="connsiteY100" fmla="*/ 3418114 h 3450772"/>
              <a:gd name="connsiteX101" fmla="*/ 778328 w 2500127"/>
              <a:gd name="connsiteY101" fmla="*/ 3418114 h 3450772"/>
              <a:gd name="connsiteX102" fmla="*/ 740228 w 2500127"/>
              <a:gd name="connsiteY102" fmla="*/ 3445329 h 3450772"/>
              <a:gd name="connsiteX103" fmla="*/ 702128 w 2500127"/>
              <a:gd name="connsiteY103" fmla="*/ 3434443 h 3450772"/>
              <a:gd name="connsiteX104" fmla="*/ 702128 w 2500127"/>
              <a:gd name="connsiteY104" fmla="*/ 3434443 h 3450772"/>
              <a:gd name="connsiteX105" fmla="*/ 664028 w 2500127"/>
              <a:gd name="connsiteY105" fmla="*/ 3450772 h 3450772"/>
              <a:gd name="connsiteX106" fmla="*/ 571500 w 2500127"/>
              <a:gd name="connsiteY106" fmla="*/ 3380014 h 3450772"/>
              <a:gd name="connsiteX107" fmla="*/ 533400 w 2500127"/>
              <a:gd name="connsiteY107" fmla="*/ 3309257 h 3450772"/>
              <a:gd name="connsiteX108" fmla="*/ 462642 w 2500127"/>
              <a:gd name="connsiteY108" fmla="*/ 3303814 h 3450772"/>
              <a:gd name="connsiteX109" fmla="*/ 277585 w 2500127"/>
              <a:gd name="connsiteY109" fmla="*/ 3243943 h 3450772"/>
              <a:gd name="connsiteX110" fmla="*/ 266700 w 2500127"/>
              <a:gd name="connsiteY110" fmla="*/ 3194957 h 3450772"/>
              <a:gd name="connsiteX111" fmla="*/ 228600 w 2500127"/>
              <a:gd name="connsiteY111" fmla="*/ 3194957 h 3450772"/>
              <a:gd name="connsiteX112" fmla="*/ 223157 w 2500127"/>
              <a:gd name="connsiteY112" fmla="*/ 3216729 h 3450772"/>
              <a:gd name="connsiteX113" fmla="*/ 223157 w 2500127"/>
              <a:gd name="connsiteY113" fmla="*/ 3243943 h 3450772"/>
              <a:gd name="connsiteX114" fmla="*/ 190500 w 2500127"/>
              <a:gd name="connsiteY114" fmla="*/ 3233057 h 3450772"/>
              <a:gd name="connsiteX115" fmla="*/ 163285 w 2500127"/>
              <a:gd name="connsiteY115" fmla="*/ 3211286 h 3450772"/>
              <a:gd name="connsiteX116" fmla="*/ 152400 w 2500127"/>
              <a:gd name="connsiteY116" fmla="*/ 3194957 h 3450772"/>
              <a:gd name="connsiteX117" fmla="*/ 174171 w 2500127"/>
              <a:gd name="connsiteY117" fmla="*/ 3151414 h 3450772"/>
              <a:gd name="connsiteX118" fmla="*/ 201385 w 2500127"/>
              <a:gd name="connsiteY118" fmla="*/ 3102429 h 3450772"/>
              <a:gd name="connsiteX119" fmla="*/ 185057 w 2500127"/>
              <a:gd name="connsiteY119" fmla="*/ 3064329 h 3450772"/>
              <a:gd name="connsiteX120" fmla="*/ 185057 w 2500127"/>
              <a:gd name="connsiteY120" fmla="*/ 3042557 h 3450772"/>
              <a:gd name="connsiteX121" fmla="*/ 125185 w 2500127"/>
              <a:gd name="connsiteY121" fmla="*/ 3042557 h 3450772"/>
              <a:gd name="connsiteX122" fmla="*/ 103414 w 2500127"/>
              <a:gd name="connsiteY122" fmla="*/ 3031672 h 3450772"/>
              <a:gd name="connsiteX123" fmla="*/ 70757 w 2500127"/>
              <a:gd name="connsiteY123" fmla="*/ 3058886 h 3450772"/>
              <a:gd name="connsiteX124" fmla="*/ 65314 w 2500127"/>
              <a:gd name="connsiteY124" fmla="*/ 3020786 h 3450772"/>
              <a:gd name="connsiteX125" fmla="*/ 0 w 2500127"/>
              <a:gd name="connsiteY125" fmla="*/ 2982686 h 3450772"/>
              <a:gd name="connsiteX126" fmla="*/ 54428 w 2500127"/>
              <a:gd name="connsiteY126" fmla="*/ 2933700 h 3450772"/>
              <a:gd name="connsiteX127" fmla="*/ 179614 w 2500127"/>
              <a:gd name="connsiteY127" fmla="*/ 2770414 h 3450772"/>
              <a:gd name="connsiteX128" fmla="*/ 326571 w 2500127"/>
              <a:gd name="connsiteY128" fmla="*/ 2122714 h 3450772"/>
              <a:gd name="connsiteX129" fmla="*/ 315685 w 2500127"/>
              <a:gd name="connsiteY129" fmla="*/ 2046514 h 3450772"/>
              <a:gd name="connsiteX130" fmla="*/ 359228 w 2500127"/>
              <a:gd name="connsiteY130" fmla="*/ 1964872 h 3450772"/>
              <a:gd name="connsiteX131" fmla="*/ 435428 w 2500127"/>
              <a:gd name="connsiteY131" fmla="*/ 1970314 h 3450772"/>
              <a:gd name="connsiteX132" fmla="*/ 440871 w 2500127"/>
              <a:gd name="connsiteY132" fmla="*/ 1937657 h 3450772"/>
              <a:gd name="connsiteX133" fmla="*/ 391885 w 2500127"/>
              <a:gd name="connsiteY133" fmla="*/ 1883229 h 3450772"/>
              <a:gd name="connsiteX134" fmla="*/ 386442 w 2500127"/>
              <a:gd name="connsiteY134" fmla="*/ 1872343 h 3450772"/>
              <a:gd name="connsiteX135" fmla="*/ 326571 w 2500127"/>
              <a:gd name="connsiteY135" fmla="*/ 1948543 h 3450772"/>
              <a:gd name="connsiteX136" fmla="*/ 408214 w 2500127"/>
              <a:gd name="connsiteY136" fmla="*/ 1338943 h 3450772"/>
              <a:gd name="connsiteX137" fmla="*/ 446314 w 2500127"/>
              <a:gd name="connsiteY137" fmla="*/ 1251857 h 3450772"/>
              <a:gd name="connsiteX138" fmla="*/ 462642 w 2500127"/>
              <a:gd name="connsiteY138" fmla="*/ 1300843 h 3450772"/>
              <a:gd name="connsiteX139" fmla="*/ 582385 w 2500127"/>
              <a:gd name="connsiteY139" fmla="*/ 1409700 h 3450772"/>
              <a:gd name="connsiteX140" fmla="*/ 620485 w 2500127"/>
              <a:gd name="connsiteY140" fmla="*/ 1513114 h 3450772"/>
              <a:gd name="connsiteX141" fmla="*/ 653142 w 2500127"/>
              <a:gd name="connsiteY141" fmla="*/ 1464129 h 3450772"/>
              <a:gd name="connsiteX142" fmla="*/ 625928 w 2500127"/>
              <a:gd name="connsiteY142" fmla="*/ 1344386 h 3450772"/>
              <a:gd name="connsiteX143" fmla="*/ 484414 w 2500127"/>
              <a:gd name="connsiteY143" fmla="*/ 1197429 h 3450772"/>
              <a:gd name="connsiteX144" fmla="*/ 435428 w 2500127"/>
              <a:gd name="connsiteY144" fmla="*/ 1164772 h 3450772"/>
              <a:gd name="connsiteX145" fmla="*/ 381000 w 2500127"/>
              <a:gd name="connsiteY145" fmla="*/ 1137557 h 3450772"/>
              <a:gd name="connsiteX146" fmla="*/ 370114 w 2500127"/>
              <a:gd name="connsiteY146" fmla="*/ 1083129 h 3450772"/>
              <a:gd name="connsiteX147" fmla="*/ 424542 w 2500127"/>
              <a:gd name="connsiteY147" fmla="*/ 1050472 h 3450772"/>
              <a:gd name="connsiteX148" fmla="*/ 468085 w 2500127"/>
              <a:gd name="connsiteY148" fmla="*/ 968829 h 3450772"/>
              <a:gd name="connsiteX149" fmla="*/ 446314 w 2500127"/>
              <a:gd name="connsiteY149" fmla="*/ 892629 h 3450772"/>
              <a:gd name="connsiteX150" fmla="*/ 446314 w 2500127"/>
              <a:gd name="connsiteY150" fmla="*/ 892629 h 3450772"/>
              <a:gd name="connsiteX151" fmla="*/ 478971 w 2500127"/>
              <a:gd name="connsiteY151" fmla="*/ 881743 h 3450772"/>
              <a:gd name="connsiteX152" fmla="*/ 424542 w 2500127"/>
              <a:gd name="connsiteY152" fmla="*/ 789214 h 3450772"/>
              <a:gd name="connsiteX153" fmla="*/ 386442 w 2500127"/>
              <a:gd name="connsiteY153" fmla="*/ 778329 h 3450772"/>
              <a:gd name="connsiteX154" fmla="*/ 429985 w 2500127"/>
              <a:gd name="connsiteY154" fmla="*/ 685800 h 3450772"/>
              <a:gd name="connsiteX155" fmla="*/ 451757 w 2500127"/>
              <a:gd name="connsiteY155" fmla="*/ 658586 h 3450772"/>
              <a:gd name="connsiteX156" fmla="*/ 560614 w 2500127"/>
              <a:gd name="connsiteY156" fmla="*/ 620486 h 3450772"/>
              <a:gd name="connsiteX157" fmla="*/ 560614 w 2500127"/>
              <a:gd name="connsiteY157" fmla="*/ 620486 h 3450772"/>
              <a:gd name="connsiteX158" fmla="*/ 636814 w 2500127"/>
              <a:gd name="connsiteY158" fmla="*/ 647700 h 3450772"/>
              <a:gd name="connsiteX159" fmla="*/ 658585 w 2500127"/>
              <a:gd name="connsiteY159" fmla="*/ 674914 h 3450772"/>
              <a:gd name="connsiteX160" fmla="*/ 772885 w 2500127"/>
              <a:gd name="connsiteY160" fmla="*/ 615043 h 3450772"/>
              <a:gd name="connsiteX161" fmla="*/ 745671 w 2500127"/>
              <a:gd name="connsiteY161" fmla="*/ 582386 h 3450772"/>
              <a:gd name="connsiteX162" fmla="*/ 740228 w 2500127"/>
              <a:gd name="connsiteY162" fmla="*/ 506186 h 3450772"/>
              <a:gd name="connsiteX163" fmla="*/ 702128 w 2500127"/>
              <a:gd name="connsiteY163" fmla="*/ 353786 h 3450772"/>
              <a:gd name="connsiteX164" fmla="*/ 685800 w 2500127"/>
              <a:gd name="connsiteY164" fmla="*/ 277586 h 3450772"/>
              <a:gd name="connsiteX165" fmla="*/ 674914 w 2500127"/>
              <a:gd name="connsiteY165" fmla="*/ 244929 h 3450772"/>
              <a:gd name="connsiteX166" fmla="*/ 615042 w 2500127"/>
              <a:gd name="connsiteY166" fmla="*/ 179614 h 3450772"/>
              <a:gd name="connsiteX167" fmla="*/ 604157 w 2500127"/>
              <a:gd name="connsiteY167" fmla="*/ 136072 h 3450772"/>
              <a:gd name="connsiteX168" fmla="*/ 598714 w 2500127"/>
              <a:gd name="connsiteY168" fmla="*/ 130629 h 3450772"/>
              <a:gd name="connsiteX169" fmla="*/ 734785 w 2500127"/>
              <a:gd name="connsiteY169" fmla="*/ 125186 h 3450772"/>
              <a:gd name="connsiteX170" fmla="*/ 745671 w 2500127"/>
              <a:gd name="connsiteY170" fmla="*/ 125186 h 3450772"/>
              <a:gd name="connsiteX171" fmla="*/ 810985 w 2500127"/>
              <a:gd name="connsiteY171" fmla="*/ 59872 h 3450772"/>
              <a:gd name="connsiteX172" fmla="*/ 985157 w 2500127"/>
              <a:gd name="connsiteY172" fmla="*/ 43543 h 3450772"/>
              <a:gd name="connsiteX173" fmla="*/ 1017814 w 2500127"/>
              <a:gd name="connsiteY173" fmla="*/ 81643 h 3450772"/>
              <a:gd name="connsiteX174" fmla="*/ 1126671 w 2500127"/>
              <a:gd name="connsiteY174"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47900 w 2500127"/>
              <a:gd name="connsiteY44" fmla="*/ 1627414 h 3450772"/>
              <a:gd name="connsiteX45" fmla="*/ 2247900 w 2500127"/>
              <a:gd name="connsiteY45" fmla="*/ 1676400 h 3450772"/>
              <a:gd name="connsiteX46" fmla="*/ 2215242 w 2500127"/>
              <a:gd name="connsiteY46" fmla="*/ 1692729 h 3450772"/>
              <a:gd name="connsiteX47" fmla="*/ 2209800 w 2500127"/>
              <a:gd name="connsiteY47" fmla="*/ 1741714 h 3450772"/>
              <a:gd name="connsiteX48" fmla="*/ 2198914 w 2500127"/>
              <a:gd name="connsiteY48" fmla="*/ 1763486 h 3450772"/>
              <a:gd name="connsiteX49" fmla="*/ 2106385 w 2500127"/>
              <a:gd name="connsiteY49" fmla="*/ 1763486 h 3450772"/>
              <a:gd name="connsiteX50" fmla="*/ 2046514 w 2500127"/>
              <a:gd name="connsiteY50" fmla="*/ 1779814 h 3450772"/>
              <a:gd name="connsiteX51" fmla="*/ 1943100 w 2500127"/>
              <a:gd name="connsiteY51" fmla="*/ 1714500 h 3450772"/>
              <a:gd name="connsiteX52" fmla="*/ 1845128 w 2500127"/>
              <a:gd name="connsiteY52" fmla="*/ 1714500 h 3450772"/>
              <a:gd name="connsiteX53" fmla="*/ 1823357 w 2500127"/>
              <a:gd name="connsiteY53" fmla="*/ 1845129 h 3450772"/>
              <a:gd name="connsiteX54" fmla="*/ 1768928 w 2500127"/>
              <a:gd name="connsiteY54" fmla="*/ 1888672 h 3450772"/>
              <a:gd name="connsiteX55" fmla="*/ 1763485 w 2500127"/>
              <a:gd name="connsiteY55" fmla="*/ 1937657 h 3450772"/>
              <a:gd name="connsiteX56" fmla="*/ 1714500 w 2500127"/>
              <a:gd name="connsiteY56" fmla="*/ 1959429 h 3450772"/>
              <a:gd name="connsiteX57" fmla="*/ 1621971 w 2500127"/>
              <a:gd name="connsiteY57" fmla="*/ 2073729 h 3450772"/>
              <a:gd name="connsiteX58" fmla="*/ 1589314 w 2500127"/>
              <a:gd name="connsiteY58" fmla="*/ 2100943 h 3450772"/>
              <a:gd name="connsiteX59" fmla="*/ 1616528 w 2500127"/>
              <a:gd name="connsiteY59" fmla="*/ 2220686 h 3450772"/>
              <a:gd name="connsiteX60" fmla="*/ 1529442 w 2500127"/>
              <a:gd name="connsiteY60" fmla="*/ 2253343 h 3450772"/>
              <a:gd name="connsiteX61" fmla="*/ 1534885 w 2500127"/>
              <a:gd name="connsiteY61" fmla="*/ 2280557 h 3450772"/>
              <a:gd name="connsiteX62" fmla="*/ 1524000 w 2500127"/>
              <a:gd name="connsiteY62" fmla="*/ 2291443 h 3450772"/>
              <a:gd name="connsiteX63" fmla="*/ 1556657 w 2500127"/>
              <a:gd name="connsiteY63" fmla="*/ 2307772 h 3450772"/>
              <a:gd name="connsiteX64" fmla="*/ 1507671 w 2500127"/>
              <a:gd name="connsiteY64" fmla="*/ 2383972 h 3450772"/>
              <a:gd name="connsiteX65" fmla="*/ 1524000 w 2500127"/>
              <a:gd name="connsiteY65" fmla="*/ 2416629 h 3450772"/>
              <a:gd name="connsiteX66" fmla="*/ 1485900 w 2500127"/>
              <a:gd name="connsiteY66" fmla="*/ 2411186 h 3450772"/>
              <a:gd name="connsiteX67" fmla="*/ 1442357 w 2500127"/>
              <a:gd name="connsiteY67" fmla="*/ 2481943 h 3450772"/>
              <a:gd name="connsiteX68" fmla="*/ 1382485 w 2500127"/>
              <a:gd name="connsiteY68" fmla="*/ 2492829 h 3450772"/>
              <a:gd name="connsiteX69" fmla="*/ 1295400 w 2500127"/>
              <a:gd name="connsiteY69" fmla="*/ 2471057 h 3450772"/>
              <a:gd name="connsiteX70" fmla="*/ 1246414 w 2500127"/>
              <a:gd name="connsiteY70" fmla="*/ 2503714 h 3450772"/>
              <a:gd name="connsiteX71" fmla="*/ 1208314 w 2500127"/>
              <a:gd name="connsiteY71" fmla="*/ 2509157 h 3450772"/>
              <a:gd name="connsiteX72" fmla="*/ 1132114 w 2500127"/>
              <a:gd name="connsiteY72" fmla="*/ 2509157 h 3450772"/>
              <a:gd name="connsiteX73" fmla="*/ 1121228 w 2500127"/>
              <a:gd name="connsiteY73" fmla="*/ 2503714 h 3450772"/>
              <a:gd name="connsiteX74" fmla="*/ 1104900 w 2500127"/>
              <a:gd name="connsiteY74" fmla="*/ 2541814 h 3450772"/>
              <a:gd name="connsiteX75" fmla="*/ 1066800 w 2500127"/>
              <a:gd name="connsiteY75" fmla="*/ 2530929 h 3450772"/>
              <a:gd name="connsiteX76" fmla="*/ 1034142 w 2500127"/>
              <a:gd name="connsiteY76" fmla="*/ 2585357 h 3450772"/>
              <a:gd name="connsiteX77" fmla="*/ 1012371 w 2500127"/>
              <a:gd name="connsiteY77" fmla="*/ 2547257 h 3450772"/>
              <a:gd name="connsiteX78" fmla="*/ 892628 w 2500127"/>
              <a:gd name="connsiteY78" fmla="*/ 2585357 h 3450772"/>
              <a:gd name="connsiteX79" fmla="*/ 887185 w 2500127"/>
              <a:gd name="connsiteY79" fmla="*/ 2590800 h 3450772"/>
              <a:gd name="connsiteX80" fmla="*/ 898071 w 2500127"/>
              <a:gd name="connsiteY80" fmla="*/ 2661557 h 3450772"/>
              <a:gd name="connsiteX81" fmla="*/ 838200 w 2500127"/>
              <a:gd name="connsiteY81" fmla="*/ 2786743 h 3450772"/>
              <a:gd name="connsiteX82" fmla="*/ 854528 w 2500127"/>
              <a:gd name="connsiteY82" fmla="*/ 2830286 h 3450772"/>
              <a:gd name="connsiteX83" fmla="*/ 936171 w 2500127"/>
              <a:gd name="connsiteY83" fmla="*/ 2824843 h 3450772"/>
              <a:gd name="connsiteX84" fmla="*/ 979714 w 2500127"/>
              <a:gd name="connsiteY84" fmla="*/ 2906486 h 3450772"/>
              <a:gd name="connsiteX85" fmla="*/ 985157 w 2500127"/>
              <a:gd name="connsiteY85" fmla="*/ 2911929 h 3450772"/>
              <a:gd name="connsiteX86" fmla="*/ 985157 w 2500127"/>
              <a:gd name="connsiteY86" fmla="*/ 2911929 h 3450772"/>
              <a:gd name="connsiteX87" fmla="*/ 1001485 w 2500127"/>
              <a:gd name="connsiteY87" fmla="*/ 2960914 h 3450772"/>
              <a:gd name="connsiteX88" fmla="*/ 1006928 w 2500127"/>
              <a:gd name="connsiteY88" fmla="*/ 3048000 h 3450772"/>
              <a:gd name="connsiteX89" fmla="*/ 979714 w 2500127"/>
              <a:gd name="connsiteY89" fmla="*/ 3053443 h 3450772"/>
              <a:gd name="connsiteX90" fmla="*/ 974271 w 2500127"/>
              <a:gd name="connsiteY90" fmla="*/ 3053443 h 3450772"/>
              <a:gd name="connsiteX91" fmla="*/ 985157 w 2500127"/>
              <a:gd name="connsiteY91" fmla="*/ 3086100 h 3450772"/>
              <a:gd name="connsiteX92" fmla="*/ 881742 w 2500127"/>
              <a:gd name="connsiteY92" fmla="*/ 3216729 h 3450772"/>
              <a:gd name="connsiteX93" fmla="*/ 892628 w 2500127"/>
              <a:gd name="connsiteY93" fmla="*/ 3260272 h 3450772"/>
              <a:gd name="connsiteX94" fmla="*/ 849085 w 2500127"/>
              <a:gd name="connsiteY94" fmla="*/ 3276600 h 3450772"/>
              <a:gd name="connsiteX95" fmla="*/ 827314 w 2500127"/>
              <a:gd name="connsiteY95" fmla="*/ 3320143 h 3450772"/>
              <a:gd name="connsiteX96" fmla="*/ 810985 w 2500127"/>
              <a:gd name="connsiteY96" fmla="*/ 3369129 h 3450772"/>
              <a:gd name="connsiteX97" fmla="*/ 805542 w 2500127"/>
              <a:gd name="connsiteY97" fmla="*/ 3407229 h 3450772"/>
              <a:gd name="connsiteX98" fmla="*/ 805542 w 2500127"/>
              <a:gd name="connsiteY98" fmla="*/ 3423557 h 3450772"/>
              <a:gd name="connsiteX99" fmla="*/ 800100 w 2500127"/>
              <a:gd name="connsiteY99" fmla="*/ 3418114 h 3450772"/>
              <a:gd name="connsiteX100" fmla="*/ 778328 w 2500127"/>
              <a:gd name="connsiteY100" fmla="*/ 3418114 h 3450772"/>
              <a:gd name="connsiteX101" fmla="*/ 740228 w 2500127"/>
              <a:gd name="connsiteY101" fmla="*/ 3445329 h 3450772"/>
              <a:gd name="connsiteX102" fmla="*/ 702128 w 2500127"/>
              <a:gd name="connsiteY102" fmla="*/ 3434443 h 3450772"/>
              <a:gd name="connsiteX103" fmla="*/ 702128 w 2500127"/>
              <a:gd name="connsiteY103" fmla="*/ 3434443 h 3450772"/>
              <a:gd name="connsiteX104" fmla="*/ 664028 w 2500127"/>
              <a:gd name="connsiteY104" fmla="*/ 3450772 h 3450772"/>
              <a:gd name="connsiteX105" fmla="*/ 571500 w 2500127"/>
              <a:gd name="connsiteY105" fmla="*/ 3380014 h 3450772"/>
              <a:gd name="connsiteX106" fmla="*/ 533400 w 2500127"/>
              <a:gd name="connsiteY106" fmla="*/ 3309257 h 3450772"/>
              <a:gd name="connsiteX107" fmla="*/ 462642 w 2500127"/>
              <a:gd name="connsiteY107" fmla="*/ 3303814 h 3450772"/>
              <a:gd name="connsiteX108" fmla="*/ 277585 w 2500127"/>
              <a:gd name="connsiteY108" fmla="*/ 3243943 h 3450772"/>
              <a:gd name="connsiteX109" fmla="*/ 266700 w 2500127"/>
              <a:gd name="connsiteY109" fmla="*/ 3194957 h 3450772"/>
              <a:gd name="connsiteX110" fmla="*/ 228600 w 2500127"/>
              <a:gd name="connsiteY110" fmla="*/ 3194957 h 3450772"/>
              <a:gd name="connsiteX111" fmla="*/ 223157 w 2500127"/>
              <a:gd name="connsiteY111" fmla="*/ 3216729 h 3450772"/>
              <a:gd name="connsiteX112" fmla="*/ 223157 w 2500127"/>
              <a:gd name="connsiteY112" fmla="*/ 3243943 h 3450772"/>
              <a:gd name="connsiteX113" fmla="*/ 190500 w 2500127"/>
              <a:gd name="connsiteY113" fmla="*/ 3233057 h 3450772"/>
              <a:gd name="connsiteX114" fmla="*/ 163285 w 2500127"/>
              <a:gd name="connsiteY114" fmla="*/ 3211286 h 3450772"/>
              <a:gd name="connsiteX115" fmla="*/ 152400 w 2500127"/>
              <a:gd name="connsiteY115" fmla="*/ 3194957 h 3450772"/>
              <a:gd name="connsiteX116" fmla="*/ 174171 w 2500127"/>
              <a:gd name="connsiteY116" fmla="*/ 3151414 h 3450772"/>
              <a:gd name="connsiteX117" fmla="*/ 201385 w 2500127"/>
              <a:gd name="connsiteY117" fmla="*/ 3102429 h 3450772"/>
              <a:gd name="connsiteX118" fmla="*/ 185057 w 2500127"/>
              <a:gd name="connsiteY118" fmla="*/ 3064329 h 3450772"/>
              <a:gd name="connsiteX119" fmla="*/ 185057 w 2500127"/>
              <a:gd name="connsiteY119" fmla="*/ 3042557 h 3450772"/>
              <a:gd name="connsiteX120" fmla="*/ 125185 w 2500127"/>
              <a:gd name="connsiteY120" fmla="*/ 3042557 h 3450772"/>
              <a:gd name="connsiteX121" fmla="*/ 103414 w 2500127"/>
              <a:gd name="connsiteY121" fmla="*/ 3031672 h 3450772"/>
              <a:gd name="connsiteX122" fmla="*/ 70757 w 2500127"/>
              <a:gd name="connsiteY122" fmla="*/ 3058886 h 3450772"/>
              <a:gd name="connsiteX123" fmla="*/ 65314 w 2500127"/>
              <a:gd name="connsiteY123" fmla="*/ 3020786 h 3450772"/>
              <a:gd name="connsiteX124" fmla="*/ 0 w 2500127"/>
              <a:gd name="connsiteY124" fmla="*/ 2982686 h 3450772"/>
              <a:gd name="connsiteX125" fmla="*/ 54428 w 2500127"/>
              <a:gd name="connsiteY125" fmla="*/ 2933700 h 3450772"/>
              <a:gd name="connsiteX126" fmla="*/ 179614 w 2500127"/>
              <a:gd name="connsiteY126" fmla="*/ 2770414 h 3450772"/>
              <a:gd name="connsiteX127" fmla="*/ 326571 w 2500127"/>
              <a:gd name="connsiteY127" fmla="*/ 2122714 h 3450772"/>
              <a:gd name="connsiteX128" fmla="*/ 315685 w 2500127"/>
              <a:gd name="connsiteY128" fmla="*/ 2046514 h 3450772"/>
              <a:gd name="connsiteX129" fmla="*/ 359228 w 2500127"/>
              <a:gd name="connsiteY129" fmla="*/ 1964872 h 3450772"/>
              <a:gd name="connsiteX130" fmla="*/ 435428 w 2500127"/>
              <a:gd name="connsiteY130" fmla="*/ 1970314 h 3450772"/>
              <a:gd name="connsiteX131" fmla="*/ 440871 w 2500127"/>
              <a:gd name="connsiteY131" fmla="*/ 1937657 h 3450772"/>
              <a:gd name="connsiteX132" fmla="*/ 391885 w 2500127"/>
              <a:gd name="connsiteY132" fmla="*/ 1883229 h 3450772"/>
              <a:gd name="connsiteX133" fmla="*/ 386442 w 2500127"/>
              <a:gd name="connsiteY133" fmla="*/ 1872343 h 3450772"/>
              <a:gd name="connsiteX134" fmla="*/ 326571 w 2500127"/>
              <a:gd name="connsiteY134" fmla="*/ 1948543 h 3450772"/>
              <a:gd name="connsiteX135" fmla="*/ 408214 w 2500127"/>
              <a:gd name="connsiteY135" fmla="*/ 1338943 h 3450772"/>
              <a:gd name="connsiteX136" fmla="*/ 446314 w 2500127"/>
              <a:gd name="connsiteY136" fmla="*/ 1251857 h 3450772"/>
              <a:gd name="connsiteX137" fmla="*/ 462642 w 2500127"/>
              <a:gd name="connsiteY137" fmla="*/ 1300843 h 3450772"/>
              <a:gd name="connsiteX138" fmla="*/ 582385 w 2500127"/>
              <a:gd name="connsiteY138" fmla="*/ 1409700 h 3450772"/>
              <a:gd name="connsiteX139" fmla="*/ 620485 w 2500127"/>
              <a:gd name="connsiteY139" fmla="*/ 1513114 h 3450772"/>
              <a:gd name="connsiteX140" fmla="*/ 653142 w 2500127"/>
              <a:gd name="connsiteY140" fmla="*/ 1464129 h 3450772"/>
              <a:gd name="connsiteX141" fmla="*/ 625928 w 2500127"/>
              <a:gd name="connsiteY141" fmla="*/ 1344386 h 3450772"/>
              <a:gd name="connsiteX142" fmla="*/ 484414 w 2500127"/>
              <a:gd name="connsiteY142" fmla="*/ 1197429 h 3450772"/>
              <a:gd name="connsiteX143" fmla="*/ 435428 w 2500127"/>
              <a:gd name="connsiteY143" fmla="*/ 1164772 h 3450772"/>
              <a:gd name="connsiteX144" fmla="*/ 381000 w 2500127"/>
              <a:gd name="connsiteY144" fmla="*/ 1137557 h 3450772"/>
              <a:gd name="connsiteX145" fmla="*/ 370114 w 2500127"/>
              <a:gd name="connsiteY145" fmla="*/ 1083129 h 3450772"/>
              <a:gd name="connsiteX146" fmla="*/ 424542 w 2500127"/>
              <a:gd name="connsiteY146" fmla="*/ 1050472 h 3450772"/>
              <a:gd name="connsiteX147" fmla="*/ 468085 w 2500127"/>
              <a:gd name="connsiteY147" fmla="*/ 968829 h 3450772"/>
              <a:gd name="connsiteX148" fmla="*/ 446314 w 2500127"/>
              <a:gd name="connsiteY148" fmla="*/ 892629 h 3450772"/>
              <a:gd name="connsiteX149" fmla="*/ 446314 w 2500127"/>
              <a:gd name="connsiteY149" fmla="*/ 892629 h 3450772"/>
              <a:gd name="connsiteX150" fmla="*/ 478971 w 2500127"/>
              <a:gd name="connsiteY150" fmla="*/ 881743 h 3450772"/>
              <a:gd name="connsiteX151" fmla="*/ 424542 w 2500127"/>
              <a:gd name="connsiteY151" fmla="*/ 789214 h 3450772"/>
              <a:gd name="connsiteX152" fmla="*/ 386442 w 2500127"/>
              <a:gd name="connsiteY152" fmla="*/ 778329 h 3450772"/>
              <a:gd name="connsiteX153" fmla="*/ 429985 w 2500127"/>
              <a:gd name="connsiteY153" fmla="*/ 685800 h 3450772"/>
              <a:gd name="connsiteX154" fmla="*/ 451757 w 2500127"/>
              <a:gd name="connsiteY154" fmla="*/ 658586 h 3450772"/>
              <a:gd name="connsiteX155" fmla="*/ 560614 w 2500127"/>
              <a:gd name="connsiteY155" fmla="*/ 620486 h 3450772"/>
              <a:gd name="connsiteX156" fmla="*/ 560614 w 2500127"/>
              <a:gd name="connsiteY156" fmla="*/ 620486 h 3450772"/>
              <a:gd name="connsiteX157" fmla="*/ 636814 w 2500127"/>
              <a:gd name="connsiteY157" fmla="*/ 647700 h 3450772"/>
              <a:gd name="connsiteX158" fmla="*/ 658585 w 2500127"/>
              <a:gd name="connsiteY158" fmla="*/ 674914 h 3450772"/>
              <a:gd name="connsiteX159" fmla="*/ 772885 w 2500127"/>
              <a:gd name="connsiteY159" fmla="*/ 615043 h 3450772"/>
              <a:gd name="connsiteX160" fmla="*/ 745671 w 2500127"/>
              <a:gd name="connsiteY160" fmla="*/ 582386 h 3450772"/>
              <a:gd name="connsiteX161" fmla="*/ 740228 w 2500127"/>
              <a:gd name="connsiteY161" fmla="*/ 506186 h 3450772"/>
              <a:gd name="connsiteX162" fmla="*/ 702128 w 2500127"/>
              <a:gd name="connsiteY162" fmla="*/ 353786 h 3450772"/>
              <a:gd name="connsiteX163" fmla="*/ 685800 w 2500127"/>
              <a:gd name="connsiteY163" fmla="*/ 277586 h 3450772"/>
              <a:gd name="connsiteX164" fmla="*/ 674914 w 2500127"/>
              <a:gd name="connsiteY164" fmla="*/ 244929 h 3450772"/>
              <a:gd name="connsiteX165" fmla="*/ 615042 w 2500127"/>
              <a:gd name="connsiteY165" fmla="*/ 179614 h 3450772"/>
              <a:gd name="connsiteX166" fmla="*/ 604157 w 2500127"/>
              <a:gd name="connsiteY166" fmla="*/ 136072 h 3450772"/>
              <a:gd name="connsiteX167" fmla="*/ 598714 w 2500127"/>
              <a:gd name="connsiteY167" fmla="*/ 130629 h 3450772"/>
              <a:gd name="connsiteX168" fmla="*/ 734785 w 2500127"/>
              <a:gd name="connsiteY168" fmla="*/ 125186 h 3450772"/>
              <a:gd name="connsiteX169" fmla="*/ 745671 w 2500127"/>
              <a:gd name="connsiteY169" fmla="*/ 125186 h 3450772"/>
              <a:gd name="connsiteX170" fmla="*/ 810985 w 2500127"/>
              <a:gd name="connsiteY170" fmla="*/ 59872 h 3450772"/>
              <a:gd name="connsiteX171" fmla="*/ 985157 w 2500127"/>
              <a:gd name="connsiteY171" fmla="*/ 43543 h 3450772"/>
              <a:gd name="connsiteX172" fmla="*/ 1017814 w 2500127"/>
              <a:gd name="connsiteY172" fmla="*/ 81643 h 3450772"/>
              <a:gd name="connsiteX173" fmla="*/ 1126671 w 2500127"/>
              <a:gd name="connsiteY173"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47900 w 2500127"/>
              <a:gd name="connsiteY44" fmla="*/ 1627414 h 3450772"/>
              <a:gd name="connsiteX45" fmla="*/ 2247900 w 2500127"/>
              <a:gd name="connsiteY45" fmla="*/ 1676400 h 3450772"/>
              <a:gd name="connsiteX46" fmla="*/ 2209800 w 2500127"/>
              <a:gd name="connsiteY46" fmla="*/ 1741714 h 3450772"/>
              <a:gd name="connsiteX47" fmla="*/ 2198914 w 2500127"/>
              <a:gd name="connsiteY47" fmla="*/ 1763486 h 3450772"/>
              <a:gd name="connsiteX48" fmla="*/ 2106385 w 2500127"/>
              <a:gd name="connsiteY48" fmla="*/ 1763486 h 3450772"/>
              <a:gd name="connsiteX49" fmla="*/ 2046514 w 2500127"/>
              <a:gd name="connsiteY49" fmla="*/ 1779814 h 3450772"/>
              <a:gd name="connsiteX50" fmla="*/ 1943100 w 2500127"/>
              <a:gd name="connsiteY50" fmla="*/ 1714500 h 3450772"/>
              <a:gd name="connsiteX51" fmla="*/ 1845128 w 2500127"/>
              <a:gd name="connsiteY51" fmla="*/ 1714500 h 3450772"/>
              <a:gd name="connsiteX52" fmla="*/ 1823357 w 2500127"/>
              <a:gd name="connsiteY52" fmla="*/ 1845129 h 3450772"/>
              <a:gd name="connsiteX53" fmla="*/ 1768928 w 2500127"/>
              <a:gd name="connsiteY53" fmla="*/ 1888672 h 3450772"/>
              <a:gd name="connsiteX54" fmla="*/ 1763485 w 2500127"/>
              <a:gd name="connsiteY54" fmla="*/ 1937657 h 3450772"/>
              <a:gd name="connsiteX55" fmla="*/ 1714500 w 2500127"/>
              <a:gd name="connsiteY55" fmla="*/ 1959429 h 3450772"/>
              <a:gd name="connsiteX56" fmla="*/ 1621971 w 2500127"/>
              <a:gd name="connsiteY56" fmla="*/ 2073729 h 3450772"/>
              <a:gd name="connsiteX57" fmla="*/ 1589314 w 2500127"/>
              <a:gd name="connsiteY57" fmla="*/ 2100943 h 3450772"/>
              <a:gd name="connsiteX58" fmla="*/ 1616528 w 2500127"/>
              <a:gd name="connsiteY58" fmla="*/ 2220686 h 3450772"/>
              <a:gd name="connsiteX59" fmla="*/ 1529442 w 2500127"/>
              <a:gd name="connsiteY59" fmla="*/ 2253343 h 3450772"/>
              <a:gd name="connsiteX60" fmla="*/ 1534885 w 2500127"/>
              <a:gd name="connsiteY60" fmla="*/ 2280557 h 3450772"/>
              <a:gd name="connsiteX61" fmla="*/ 1524000 w 2500127"/>
              <a:gd name="connsiteY61" fmla="*/ 2291443 h 3450772"/>
              <a:gd name="connsiteX62" fmla="*/ 1556657 w 2500127"/>
              <a:gd name="connsiteY62" fmla="*/ 2307772 h 3450772"/>
              <a:gd name="connsiteX63" fmla="*/ 1507671 w 2500127"/>
              <a:gd name="connsiteY63" fmla="*/ 2383972 h 3450772"/>
              <a:gd name="connsiteX64" fmla="*/ 1524000 w 2500127"/>
              <a:gd name="connsiteY64" fmla="*/ 2416629 h 3450772"/>
              <a:gd name="connsiteX65" fmla="*/ 1485900 w 2500127"/>
              <a:gd name="connsiteY65" fmla="*/ 2411186 h 3450772"/>
              <a:gd name="connsiteX66" fmla="*/ 1442357 w 2500127"/>
              <a:gd name="connsiteY66" fmla="*/ 2481943 h 3450772"/>
              <a:gd name="connsiteX67" fmla="*/ 1382485 w 2500127"/>
              <a:gd name="connsiteY67" fmla="*/ 2492829 h 3450772"/>
              <a:gd name="connsiteX68" fmla="*/ 1295400 w 2500127"/>
              <a:gd name="connsiteY68" fmla="*/ 2471057 h 3450772"/>
              <a:gd name="connsiteX69" fmla="*/ 1246414 w 2500127"/>
              <a:gd name="connsiteY69" fmla="*/ 2503714 h 3450772"/>
              <a:gd name="connsiteX70" fmla="*/ 1208314 w 2500127"/>
              <a:gd name="connsiteY70" fmla="*/ 2509157 h 3450772"/>
              <a:gd name="connsiteX71" fmla="*/ 1132114 w 2500127"/>
              <a:gd name="connsiteY71" fmla="*/ 2509157 h 3450772"/>
              <a:gd name="connsiteX72" fmla="*/ 1121228 w 2500127"/>
              <a:gd name="connsiteY72" fmla="*/ 2503714 h 3450772"/>
              <a:gd name="connsiteX73" fmla="*/ 1104900 w 2500127"/>
              <a:gd name="connsiteY73" fmla="*/ 2541814 h 3450772"/>
              <a:gd name="connsiteX74" fmla="*/ 1066800 w 2500127"/>
              <a:gd name="connsiteY74" fmla="*/ 2530929 h 3450772"/>
              <a:gd name="connsiteX75" fmla="*/ 1034142 w 2500127"/>
              <a:gd name="connsiteY75" fmla="*/ 2585357 h 3450772"/>
              <a:gd name="connsiteX76" fmla="*/ 1012371 w 2500127"/>
              <a:gd name="connsiteY76" fmla="*/ 2547257 h 3450772"/>
              <a:gd name="connsiteX77" fmla="*/ 892628 w 2500127"/>
              <a:gd name="connsiteY77" fmla="*/ 2585357 h 3450772"/>
              <a:gd name="connsiteX78" fmla="*/ 887185 w 2500127"/>
              <a:gd name="connsiteY78" fmla="*/ 2590800 h 3450772"/>
              <a:gd name="connsiteX79" fmla="*/ 898071 w 2500127"/>
              <a:gd name="connsiteY79" fmla="*/ 2661557 h 3450772"/>
              <a:gd name="connsiteX80" fmla="*/ 838200 w 2500127"/>
              <a:gd name="connsiteY80" fmla="*/ 2786743 h 3450772"/>
              <a:gd name="connsiteX81" fmla="*/ 854528 w 2500127"/>
              <a:gd name="connsiteY81" fmla="*/ 2830286 h 3450772"/>
              <a:gd name="connsiteX82" fmla="*/ 936171 w 2500127"/>
              <a:gd name="connsiteY82" fmla="*/ 2824843 h 3450772"/>
              <a:gd name="connsiteX83" fmla="*/ 979714 w 2500127"/>
              <a:gd name="connsiteY83" fmla="*/ 2906486 h 3450772"/>
              <a:gd name="connsiteX84" fmla="*/ 985157 w 2500127"/>
              <a:gd name="connsiteY84" fmla="*/ 2911929 h 3450772"/>
              <a:gd name="connsiteX85" fmla="*/ 985157 w 2500127"/>
              <a:gd name="connsiteY85" fmla="*/ 2911929 h 3450772"/>
              <a:gd name="connsiteX86" fmla="*/ 1001485 w 2500127"/>
              <a:gd name="connsiteY86" fmla="*/ 2960914 h 3450772"/>
              <a:gd name="connsiteX87" fmla="*/ 1006928 w 2500127"/>
              <a:gd name="connsiteY87" fmla="*/ 3048000 h 3450772"/>
              <a:gd name="connsiteX88" fmla="*/ 979714 w 2500127"/>
              <a:gd name="connsiteY88" fmla="*/ 3053443 h 3450772"/>
              <a:gd name="connsiteX89" fmla="*/ 974271 w 2500127"/>
              <a:gd name="connsiteY89" fmla="*/ 3053443 h 3450772"/>
              <a:gd name="connsiteX90" fmla="*/ 985157 w 2500127"/>
              <a:gd name="connsiteY90" fmla="*/ 3086100 h 3450772"/>
              <a:gd name="connsiteX91" fmla="*/ 881742 w 2500127"/>
              <a:gd name="connsiteY91" fmla="*/ 3216729 h 3450772"/>
              <a:gd name="connsiteX92" fmla="*/ 892628 w 2500127"/>
              <a:gd name="connsiteY92" fmla="*/ 3260272 h 3450772"/>
              <a:gd name="connsiteX93" fmla="*/ 849085 w 2500127"/>
              <a:gd name="connsiteY93" fmla="*/ 3276600 h 3450772"/>
              <a:gd name="connsiteX94" fmla="*/ 827314 w 2500127"/>
              <a:gd name="connsiteY94" fmla="*/ 3320143 h 3450772"/>
              <a:gd name="connsiteX95" fmla="*/ 810985 w 2500127"/>
              <a:gd name="connsiteY95" fmla="*/ 3369129 h 3450772"/>
              <a:gd name="connsiteX96" fmla="*/ 805542 w 2500127"/>
              <a:gd name="connsiteY96" fmla="*/ 3407229 h 3450772"/>
              <a:gd name="connsiteX97" fmla="*/ 805542 w 2500127"/>
              <a:gd name="connsiteY97" fmla="*/ 3423557 h 3450772"/>
              <a:gd name="connsiteX98" fmla="*/ 800100 w 2500127"/>
              <a:gd name="connsiteY98" fmla="*/ 3418114 h 3450772"/>
              <a:gd name="connsiteX99" fmla="*/ 778328 w 2500127"/>
              <a:gd name="connsiteY99" fmla="*/ 3418114 h 3450772"/>
              <a:gd name="connsiteX100" fmla="*/ 740228 w 2500127"/>
              <a:gd name="connsiteY100" fmla="*/ 3445329 h 3450772"/>
              <a:gd name="connsiteX101" fmla="*/ 702128 w 2500127"/>
              <a:gd name="connsiteY101" fmla="*/ 3434443 h 3450772"/>
              <a:gd name="connsiteX102" fmla="*/ 702128 w 2500127"/>
              <a:gd name="connsiteY102" fmla="*/ 3434443 h 3450772"/>
              <a:gd name="connsiteX103" fmla="*/ 664028 w 2500127"/>
              <a:gd name="connsiteY103" fmla="*/ 3450772 h 3450772"/>
              <a:gd name="connsiteX104" fmla="*/ 571500 w 2500127"/>
              <a:gd name="connsiteY104" fmla="*/ 3380014 h 3450772"/>
              <a:gd name="connsiteX105" fmla="*/ 533400 w 2500127"/>
              <a:gd name="connsiteY105" fmla="*/ 3309257 h 3450772"/>
              <a:gd name="connsiteX106" fmla="*/ 462642 w 2500127"/>
              <a:gd name="connsiteY106" fmla="*/ 3303814 h 3450772"/>
              <a:gd name="connsiteX107" fmla="*/ 277585 w 2500127"/>
              <a:gd name="connsiteY107" fmla="*/ 3243943 h 3450772"/>
              <a:gd name="connsiteX108" fmla="*/ 266700 w 2500127"/>
              <a:gd name="connsiteY108" fmla="*/ 3194957 h 3450772"/>
              <a:gd name="connsiteX109" fmla="*/ 228600 w 2500127"/>
              <a:gd name="connsiteY109" fmla="*/ 3194957 h 3450772"/>
              <a:gd name="connsiteX110" fmla="*/ 223157 w 2500127"/>
              <a:gd name="connsiteY110" fmla="*/ 3216729 h 3450772"/>
              <a:gd name="connsiteX111" fmla="*/ 223157 w 2500127"/>
              <a:gd name="connsiteY111" fmla="*/ 3243943 h 3450772"/>
              <a:gd name="connsiteX112" fmla="*/ 190500 w 2500127"/>
              <a:gd name="connsiteY112" fmla="*/ 3233057 h 3450772"/>
              <a:gd name="connsiteX113" fmla="*/ 163285 w 2500127"/>
              <a:gd name="connsiteY113" fmla="*/ 3211286 h 3450772"/>
              <a:gd name="connsiteX114" fmla="*/ 152400 w 2500127"/>
              <a:gd name="connsiteY114" fmla="*/ 3194957 h 3450772"/>
              <a:gd name="connsiteX115" fmla="*/ 174171 w 2500127"/>
              <a:gd name="connsiteY115" fmla="*/ 3151414 h 3450772"/>
              <a:gd name="connsiteX116" fmla="*/ 201385 w 2500127"/>
              <a:gd name="connsiteY116" fmla="*/ 3102429 h 3450772"/>
              <a:gd name="connsiteX117" fmla="*/ 185057 w 2500127"/>
              <a:gd name="connsiteY117" fmla="*/ 3064329 h 3450772"/>
              <a:gd name="connsiteX118" fmla="*/ 185057 w 2500127"/>
              <a:gd name="connsiteY118" fmla="*/ 3042557 h 3450772"/>
              <a:gd name="connsiteX119" fmla="*/ 125185 w 2500127"/>
              <a:gd name="connsiteY119" fmla="*/ 3042557 h 3450772"/>
              <a:gd name="connsiteX120" fmla="*/ 103414 w 2500127"/>
              <a:gd name="connsiteY120" fmla="*/ 3031672 h 3450772"/>
              <a:gd name="connsiteX121" fmla="*/ 70757 w 2500127"/>
              <a:gd name="connsiteY121" fmla="*/ 3058886 h 3450772"/>
              <a:gd name="connsiteX122" fmla="*/ 65314 w 2500127"/>
              <a:gd name="connsiteY122" fmla="*/ 3020786 h 3450772"/>
              <a:gd name="connsiteX123" fmla="*/ 0 w 2500127"/>
              <a:gd name="connsiteY123" fmla="*/ 2982686 h 3450772"/>
              <a:gd name="connsiteX124" fmla="*/ 54428 w 2500127"/>
              <a:gd name="connsiteY124" fmla="*/ 2933700 h 3450772"/>
              <a:gd name="connsiteX125" fmla="*/ 179614 w 2500127"/>
              <a:gd name="connsiteY125" fmla="*/ 2770414 h 3450772"/>
              <a:gd name="connsiteX126" fmla="*/ 326571 w 2500127"/>
              <a:gd name="connsiteY126" fmla="*/ 2122714 h 3450772"/>
              <a:gd name="connsiteX127" fmla="*/ 315685 w 2500127"/>
              <a:gd name="connsiteY127" fmla="*/ 2046514 h 3450772"/>
              <a:gd name="connsiteX128" fmla="*/ 359228 w 2500127"/>
              <a:gd name="connsiteY128" fmla="*/ 1964872 h 3450772"/>
              <a:gd name="connsiteX129" fmla="*/ 435428 w 2500127"/>
              <a:gd name="connsiteY129" fmla="*/ 1970314 h 3450772"/>
              <a:gd name="connsiteX130" fmla="*/ 440871 w 2500127"/>
              <a:gd name="connsiteY130" fmla="*/ 1937657 h 3450772"/>
              <a:gd name="connsiteX131" fmla="*/ 391885 w 2500127"/>
              <a:gd name="connsiteY131" fmla="*/ 1883229 h 3450772"/>
              <a:gd name="connsiteX132" fmla="*/ 386442 w 2500127"/>
              <a:gd name="connsiteY132" fmla="*/ 1872343 h 3450772"/>
              <a:gd name="connsiteX133" fmla="*/ 326571 w 2500127"/>
              <a:gd name="connsiteY133" fmla="*/ 1948543 h 3450772"/>
              <a:gd name="connsiteX134" fmla="*/ 408214 w 2500127"/>
              <a:gd name="connsiteY134" fmla="*/ 1338943 h 3450772"/>
              <a:gd name="connsiteX135" fmla="*/ 446314 w 2500127"/>
              <a:gd name="connsiteY135" fmla="*/ 1251857 h 3450772"/>
              <a:gd name="connsiteX136" fmla="*/ 462642 w 2500127"/>
              <a:gd name="connsiteY136" fmla="*/ 1300843 h 3450772"/>
              <a:gd name="connsiteX137" fmla="*/ 582385 w 2500127"/>
              <a:gd name="connsiteY137" fmla="*/ 1409700 h 3450772"/>
              <a:gd name="connsiteX138" fmla="*/ 620485 w 2500127"/>
              <a:gd name="connsiteY138" fmla="*/ 1513114 h 3450772"/>
              <a:gd name="connsiteX139" fmla="*/ 653142 w 2500127"/>
              <a:gd name="connsiteY139" fmla="*/ 1464129 h 3450772"/>
              <a:gd name="connsiteX140" fmla="*/ 625928 w 2500127"/>
              <a:gd name="connsiteY140" fmla="*/ 1344386 h 3450772"/>
              <a:gd name="connsiteX141" fmla="*/ 484414 w 2500127"/>
              <a:gd name="connsiteY141" fmla="*/ 1197429 h 3450772"/>
              <a:gd name="connsiteX142" fmla="*/ 435428 w 2500127"/>
              <a:gd name="connsiteY142" fmla="*/ 1164772 h 3450772"/>
              <a:gd name="connsiteX143" fmla="*/ 381000 w 2500127"/>
              <a:gd name="connsiteY143" fmla="*/ 1137557 h 3450772"/>
              <a:gd name="connsiteX144" fmla="*/ 370114 w 2500127"/>
              <a:gd name="connsiteY144" fmla="*/ 1083129 h 3450772"/>
              <a:gd name="connsiteX145" fmla="*/ 424542 w 2500127"/>
              <a:gd name="connsiteY145" fmla="*/ 1050472 h 3450772"/>
              <a:gd name="connsiteX146" fmla="*/ 468085 w 2500127"/>
              <a:gd name="connsiteY146" fmla="*/ 968829 h 3450772"/>
              <a:gd name="connsiteX147" fmla="*/ 446314 w 2500127"/>
              <a:gd name="connsiteY147" fmla="*/ 892629 h 3450772"/>
              <a:gd name="connsiteX148" fmla="*/ 446314 w 2500127"/>
              <a:gd name="connsiteY148" fmla="*/ 892629 h 3450772"/>
              <a:gd name="connsiteX149" fmla="*/ 478971 w 2500127"/>
              <a:gd name="connsiteY149" fmla="*/ 881743 h 3450772"/>
              <a:gd name="connsiteX150" fmla="*/ 424542 w 2500127"/>
              <a:gd name="connsiteY150" fmla="*/ 789214 h 3450772"/>
              <a:gd name="connsiteX151" fmla="*/ 386442 w 2500127"/>
              <a:gd name="connsiteY151" fmla="*/ 778329 h 3450772"/>
              <a:gd name="connsiteX152" fmla="*/ 429985 w 2500127"/>
              <a:gd name="connsiteY152" fmla="*/ 685800 h 3450772"/>
              <a:gd name="connsiteX153" fmla="*/ 451757 w 2500127"/>
              <a:gd name="connsiteY153" fmla="*/ 658586 h 3450772"/>
              <a:gd name="connsiteX154" fmla="*/ 560614 w 2500127"/>
              <a:gd name="connsiteY154" fmla="*/ 620486 h 3450772"/>
              <a:gd name="connsiteX155" fmla="*/ 560614 w 2500127"/>
              <a:gd name="connsiteY155" fmla="*/ 620486 h 3450772"/>
              <a:gd name="connsiteX156" fmla="*/ 636814 w 2500127"/>
              <a:gd name="connsiteY156" fmla="*/ 647700 h 3450772"/>
              <a:gd name="connsiteX157" fmla="*/ 658585 w 2500127"/>
              <a:gd name="connsiteY157" fmla="*/ 674914 h 3450772"/>
              <a:gd name="connsiteX158" fmla="*/ 772885 w 2500127"/>
              <a:gd name="connsiteY158" fmla="*/ 615043 h 3450772"/>
              <a:gd name="connsiteX159" fmla="*/ 745671 w 2500127"/>
              <a:gd name="connsiteY159" fmla="*/ 582386 h 3450772"/>
              <a:gd name="connsiteX160" fmla="*/ 740228 w 2500127"/>
              <a:gd name="connsiteY160" fmla="*/ 506186 h 3450772"/>
              <a:gd name="connsiteX161" fmla="*/ 702128 w 2500127"/>
              <a:gd name="connsiteY161" fmla="*/ 353786 h 3450772"/>
              <a:gd name="connsiteX162" fmla="*/ 685800 w 2500127"/>
              <a:gd name="connsiteY162" fmla="*/ 277586 h 3450772"/>
              <a:gd name="connsiteX163" fmla="*/ 674914 w 2500127"/>
              <a:gd name="connsiteY163" fmla="*/ 244929 h 3450772"/>
              <a:gd name="connsiteX164" fmla="*/ 615042 w 2500127"/>
              <a:gd name="connsiteY164" fmla="*/ 179614 h 3450772"/>
              <a:gd name="connsiteX165" fmla="*/ 604157 w 2500127"/>
              <a:gd name="connsiteY165" fmla="*/ 136072 h 3450772"/>
              <a:gd name="connsiteX166" fmla="*/ 598714 w 2500127"/>
              <a:gd name="connsiteY166" fmla="*/ 130629 h 3450772"/>
              <a:gd name="connsiteX167" fmla="*/ 734785 w 2500127"/>
              <a:gd name="connsiteY167" fmla="*/ 125186 h 3450772"/>
              <a:gd name="connsiteX168" fmla="*/ 745671 w 2500127"/>
              <a:gd name="connsiteY168" fmla="*/ 125186 h 3450772"/>
              <a:gd name="connsiteX169" fmla="*/ 810985 w 2500127"/>
              <a:gd name="connsiteY169" fmla="*/ 59872 h 3450772"/>
              <a:gd name="connsiteX170" fmla="*/ 985157 w 2500127"/>
              <a:gd name="connsiteY170" fmla="*/ 43543 h 3450772"/>
              <a:gd name="connsiteX171" fmla="*/ 1017814 w 2500127"/>
              <a:gd name="connsiteY171" fmla="*/ 81643 h 3450772"/>
              <a:gd name="connsiteX172" fmla="*/ 1126671 w 2500127"/>
              <a:gd name="connsiteY172"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47900 w 2500127"/>
              <a:gd name="connsiteY44" fmla="*/ 1627414 h 3450772"/>
              <a:gd name="connsiteX45" fmla="*/ 2260641 w 2500127"/>
              <a:gd name="connsiteY45" fmla="*/ 1676400 h 3450772"/>
              <a:gd name="connsiteX46" fmla="*/ 2209800 w 2500127"/>
              <a:gd name="connsiteY46" fmla="*/ 1741714 h 3450772"/>
              <a:gd name="connsiteX47" fmla="*/ 2198914 w 2500127"/>
              <a:gd name="connsiteY47" fmla="*/ 1763486 h 3450772"/>
              <a:gd name="connsiteX48" fmla="*/ 2106385 w 2500127"/>
              <a:gd name="connsiteY48" fmla="*/ 1763486 h 3450772"/>
              <a:gd name="connsiteX49" fmla="*/ 2046514 w 2500127"/>
              <a:gd name="connsiteY49" fmla="*/ 1779814 h 3450772"/>
              <a:gd name="connsiteX50" fmla="*/ 1943100 w 2500127"/>
              <a:gd name="connsiteY50" fmla="*/ 1714500 h 3450772"/>
              <a:gd name="connsiteX51" fmla="*/ 1845128 w 2500127"/>
              <a:gd name="connsiteY51" fmla="*/ 1714500 h 3450772"/>
              <a:gd name="connsiteX52" fmla="*/ 1823357 w 2500127"/>
              <a:gd name="connsiteY52" fmla="*/ 1845129 h 3450772"/>
              <a:gd name="connsiteX53" fmla="*/ 1768928 w 2500127"/>
              <a:gd name="connsiteY53" fmla="*/ 1888672 h 3450772"/>
              <a:gd name="connsiteX54" fmla="*/ 1763485 w 2500127"/>
              <a:gd name="connsiteY54" fmla="*/ 1937657 h 3450772"/>
              <a:gd name="connsiteX55" fmla="*/ 1714500 w 2500127"/>
              <a:gd name="connsiteY55" fmla="*/ 1959429 h 3450772"/>
              <a:gd name="connsiteX56" fmla="*/ 1621971 w 2500127"/>
              <a:gd name="connsiteY56" fmla="*/ 2073729 h 3450772"/>
              <a:gd name="connsiteX57" fmla="*/ 1589314 w 2500127"/>
              <a:gd name="connsiteY57" fmla="*/ 2100943 h 3450772"/>
              <a:gd name="connsiteX58" fmla="*/ 1616528 w 2500127"/>
              <a:gd name="connsiteY58" fmla="*/ 2220686 h 3450772"/>
              <a:gd name="connsiteX59" fmla="*/ 1529442 w 2500127"/>
              <a:gd name="connsiteY59" fmla="*/ 2253343 h 3450772"/>
              <a:gd name="connsiteX60" fmla="*/ 1534885 w 2500127"/>
              <a:gd name="connsiteY60" fmla="*/ 2280557 h 3450772"/>
              <a:gd name="connsiteX61" fmla="*/ 1524000 w 2500127"/>
              <a:gd name="connsiteY61" fmla="*/ 2291443 h 3450772"/>
              <a:gd name="connsiteX62" fmla="*/ 1556657 w 2500127"/>
              <a:gd name="connsiteY62" fmla="*/ 2307772 h 3450772"/>
              <a:gd name="connsiteX63" fmla="*/ 1507671 w 2500127"/>
              <a:gd name="connsiteY63" fmla="*/ 2383972 h 3450772"/>
              <a:gd name="connsiteX64" fmla="*/ 1524000 w 2500127"/>
              <a:gd name="connsiteY64" fmla="*/ 2416629 h 3450772"/>
              <a:gd name="connsiteX65" fmla="*/ 1485900 w 2500127"/>
              <a:gd name="connsiteY65" fmla="*/ 2411186 h 3450772"/>
              <a:gd name="connsiteX66" fmla="*/ 1442357 w 2500127"/>
              <a:gd name="connsiteY66" fmla="*/ 2481943 h 3450772"/>
              <a:gd name="connsiteX67" fmla="*/ 1382485 w 2500127"/>
              <a:gd name="connsiteY67" fmla="*/ 2492829 h 3450772"/>
              <a:gd name="connsiteX68" fmla="*/ 1295400 w 2500127"/>
              <a:gd name="connsiteY68" fmla="*/ 2471057 h 3450772"/>
              <a:gd name="connsiteX69" fmla="*/ 1246414 w 2500127"/>
              <a:gd name="connsiteY69" fmla="*/ 2503714 h 3450772"/>
              <a:gd name="connsiteX70" fmla="*/ 1208314 w 2500127"/>
              <a:gd name="connsiteY70" fmla="*/ 2509157 h 3450772"/>
              <a:gd name="connsiteX71" fmla="*/ 1132114 w 2500127"/>
              <a:gd name="connsiteY71" fmla="*/ 2509157 h 3450772"/>
              <a:gd name="connsiteX72" fmla="*/ 1121228 w 2500127"/>
              <a:gd name="connsiteY72" fmla="*/ 2503714 h 3450772"/>
              <a:gd name="connsiteX73" fmla="*/ 1104900 w 2500127"/>
              <a:gd name="connsiteY73" fmla="*/ 2541814 h 3450772"/>
              <a:gd name="connsiteX74" fmla="*/ 1066800 w 2500127"/>
              <a:gd name="connsiteY74" fmla="*/ 2530929 h 3450772"/>
              <a:gd name="connsiteX75" fmla="*/ 1034142 w 2500127"/>
              <a:gd name="connsiteY75" fmla="*/ 2585357 h 3450772"/>
              <a:gd name="connsiteX76" fmla="*/ 1012371 w 2500127"/>
              <a:gd name="connsiteY76" fmla="*/ 2547257 h 3450772"/>
              <a:gd name="connsiteX77" fmla="*/ 892628 w 2500127"/>
              <a:gd name="connsiteY77" fmla="*/ 2585357 h 3450772"/>
              <a:gd name="connsiteX78" fmla="*/ 887185 w 2500127"/>
              <a:gd name="connsiteY78" fmla="*/ 2590800 h 3450772"/>
              <a:gd name="connsiteX79" fmla="*/ 898071 w 2500127"/>
              <a:gd name="connsiteY79" fmla="*/ 2661557 h 3450772"/>
              <a:gd name="connsiteX80" fmla="*/ 838200 w 2500127"/>
              <a:gd name="connsiteY80" fmla="*/ 2786743 h 3450772"/>
              <a:gd name="connsiteX81" fmla="*/ 854528 w 2500127"/>
              <a:gd name="connsiteY81" fmla="*/ 2830286 h 3450772"/>
              <a:gd name="connsiteX82" fmla="*/ 936171 w 2500127"/>
              <a:gd name="connsiteY82" fmla="*/ 2824843 h 3450772"/>
              <a:gd name="connsiteX83" fmla="*/ 979714 w 2500127"/>
              <a:gd name="connsiteY83" fmla="*/ 2906486 h 3450772"/>
              <a:gd name="connsiteX84" fmla="*/ 985157 w 2500127"/>
              <a:gd name="connsiteY84" fmla="*/ 2911929 h 3450772"/>
              <a:gd name="connsiteX85" fmla="*/ 985157 w 2500127"/>
              <a:gd name="connsiteY85" fmla="*/ 2911929 h 3450772"/>
              <a:gd name="connsiteX86" fmla="*/ 1001485 w 2500127"/>
              <a:gd name="connsiteY86" fmla="*/ 2960914 h 3450772"/>
              <a:gd name="connsiteX87" fmla="*/ 1006928 w 2500127"/>
              <a:gd name="connsiteY87" fmla="*/ 3048000 h 3450772"/>
              <a:gd name="connsiteX88" fmla="*/ 979714 w 2500127"/>
              <a:gd name="connsiteY88" fmla="*/ 3053443 h 3450772"/>
              <a:gd name="connsiteX89" fmla="*/ 974271 w 2500127"/>
              <a:gd name="connsiteY89" fmla="*/ 3053443 h 3450772"/>
              <a:gd name="connsiteX90" fmla="*/ 985157 w 2500127"/>
              <a:gd name="connsiteY90" fmla="*/ 3086100 h 3450772"/>
              <a:gd name="connsiteX91" fmla="*/ 881742 w 2500127"/>
              <a:gd name="connsiteY91" fmla="*/ 3216729 h 3450772"/>
              <a:gd name="connsiteX92" fmla="*/ 892628 w 2500127"/>
              <a:gd name="connsiteY92" fmla="*/ 3260272 h 3450772"/>
              <a:gd name="connsiteX93" fmla="*/ 849085 w 2500127"/>
              <a:gd name="connsiteY93" fmla="*/ 3276600 h 3450772"/>
              <a:gd name="connsiteX94" fmla="*/ 827314 w 2500127"/>
              <a:gd name="connsiteY94" fmla="*/ 3320143 h 3450772"/>
              <a:gd name="connsiteX95" fmla="*/ 810985 w 2500127"/>
              <a:gd name="connsiteY95" fmla="*/ 3369129 h 3450772"/>
              <a:gd name="connsiteX96" fmla="*/ 805542 w 2500127"/>
              <a:gd name="connsiteY96" fmla="*/ 3407229 h 3450772"/>
              <a:gd name="connsiteX97" fmla="*/ 805542 w 2500127"/>
              <a:gd name="connsiteY97" fmla="*/ 3423557 h 3450772"/>
              <a:gd name="connsiteX98" fmla="*/ 800100 w 2500127"/>
              <a:gd name="connsiteY98" fmla="*/ 3418114 h 3450772"/>
              <a:gd name="connsiteX99" fmla="*/ 778328 w 2500127"/>
              <a:gd name="connsiteY99" fmla="*/ 3418114 h 3450772"/>
              <a:gd name="connsiteX100" fmla="*/ 740228 w 2500127"/>
              <a:gd name="connsiteY100" fmla="*/ 3445329 h 3450772"/>
              <a:gd name="connsiteX101" fmla="*/ 702128 w 2500127"/>
              <a:gd name="connsiteY101" fmla="*/ 3434443 h 3450772"/>
              <a:gd name="connsiteX102" fmla="*/ 702128 w 2500127"/>
              <a:gd name="connsiteY102" fmla="*/ 3434443 h 3450772"/>
              <a:gd name="connsiteX103" fmla="*/ 664028 w 2500127"/>
              <a:gd name="connsiteY103" fmla="*/ 3450772 h 3450772"/>
              <a:gd name="connsiteX104" fmla="*/ 571500 w 2500127"/>
              <a:gd name="connsiteY104" fmla="*/ 3380014 h 3450772"/>
              <a:gd name="connsiteX105" fmla="*/ 533400 w 2500127"/>
              <a:gd name="connsiteY105" fmla="*/ 3309257 h 3450772"/>
              <a:gd name="connsiteX106" fmla="*/ 462642 w 2500127"/>
              <a:gd name="connsiteY106" fmla="*/ 3303814 h 3450772"/>
              <a:gd name="connsiteX107" fmla="*/ 277585 w 2500127"/>
              <a:gd name="connsiteY107" fmla="*/ 3243943 h 3450772"/>
              <a:gd name="connsiteX108" fmla="*/ 266700 w 2500127"/>
              <a:gd name="connsiteY108" fmla="*/ 3194957 h 3450772"/>
              <a:gd name="connsiteX109" fmla="*/ 228600 w 2500127"/>
              <a:gd name="connsiteY109" fmla="*/ 3194957 h 3450772"/>
              <a:gd name="connsiteX110" fmla="*/ 223157 w 2500127"/>
              <a:gd name="connsiteY110" fmla="*/ 3216729 h 3450772"/>
              <a:gd name="connsiteX111" fmla="*/ 223157 w 2500127"/>
              <a:gd name="connsiteY111" fmla="*/ 3243943 h 3450772"/>
              <a:gd name="connsiteX112" fmla="*/ 190500 w 2500127"/>
              <a:gd name="connsiteY112" fmla="*/ 3233057 h 3450772"/>
              <a:gd name="connsiteX113" fmla="*/ 163285 w 2500127"/>
              <a:gd name="connsiteY113" fmla="*/ 3211286 h 3450772"/>
              <a:gd name="connsiteX114" fmla="*/ 152400 w 2500127"/>
              <a:gd name="connsiteY114" fmla="*/ 3194957 h 3450772"/>
              <a:gd name="connsiteX115" fmla="*/ 174171 w 2500127"/>
              <a:gd name="connsiteY115" fmla="*/ 3151414 h 3450772"/>
              <a:gd name="connsiteX116" fmla="*/ 201385 w 2500127"/>
              <a:gd name="connsiteY116" fmla="*/ 3102429 h 3450772"/>
              <a:gd name="connsiteX117" fmla="*/ 185057 w 2500127"/>
              <a:gd name="connsiteY117" fmla="*/ 3064329 h 3450772"/>
              <a:gd name="connsiteX118" fmla="*/ 185057 w 2500127"/>
              <a:gd name="connsiteY118" fmla="*/ 3042557 h 3450772"/>
              <a:gd name="connsiteX119" fmla="*/ 125185 w 2500127"/>
              <a:gd name="connsiteY119" fmla="*/ 3042557 h 3450772"/>
              <a:gd name="connsiteX120" fmla="*/ 103414 w 2500127"/>
              <a:gd name="connsiteY120" fmla="*/ 3031672 h 3450772"/>
              <a:gd name="connsiteX121" fmla="*/ 70757 w 2500127"/>
              <a:gd name="connsiteY121" fmla="*/ 3058886 h 3450772"/>
              <a:gd name="connsiteX122" fmla="*/ 65314 w 2500127"/>
              <a:gd name="connsiteY122" fmla="*/ 3020786 h 3450772"/>
              <a:gd name="connsiteX123" fmla="*/ 0 w 2500127"/>
              <a:gd name="connsiteY123" fmla="*/ 2982686 h 3450772"/>
              <a:gd name="connsiteX124" fmla="*/ 54428 w 2500127"/>
              <a:gd name="connsiteY124" fmla="*/ 2933700 h 3450772"/>
              <a:gd name="connsiteX125" fmla="*/ 179614 w 2500127"/>
              <a:gd name="connsiteY125" fmla="*/ 2770414 h 3450772"/>
              <a:gd name="connsiteX126" fmla="*/ 326571 w 2500127"/>
              <a:gd name="connsiteY126" fmla="*/ 2122714 h 3450772"/>
              <a:gd name="connsiteX127" fmla="*/ 315685 w 2500127"/>
              <a:gd name="connsiteY127" fmla="*/ 2046514 h 3450772"/>
              <a:gd name="connsiteX128" fmla="*/ 359228 w 2500127"/>
              <a:gd name="connsiteY128" fmla="*/ 1964872 h 3450772"/>
              <a:gd name="connsiteX129" fmla="*/ 435428 w 2500127"/>
              <a:gd name="connsiteY129" fmla="*/ 1970314 h 3450772"/>
              <a:gd name="connsiteX130" fmla="*/ 440871 w 2500127"/>
              <a:gd name="connsiteY130" fmla="*/ 1937657 h 3450772"/>
              <a:gd name="connsiteX131" fmla="*/ 391885 w 2500127"/>
              <a:gd name="connsiteY131" fmla="*/ 1883229 h 3450772"/>
              <a:gd name="connsiteX132" fmla="*/ 386442 w 2500127"/>
              <a:gd name="connsiteY132" fmla="*/ 1872343 h 3450772"/>
              <a:gd name="connsiteX133" fmla="*/ 326571 w 2500127"/>
              <a:gd name="connsiteY133" fmla="*/ 1948543 h 3450772"/>
              <a:gd name="connsiteX134" fmla="*/ 408214 w 2500127"/>
              <a:gd name="connsiteY134" fmla="*/ 1338943 h 3450772"/>
              <a:gd name="connsiteX135" fmla="*/ 446314 w 2500127"/>
              <a:gd name="connsiteY135" fmla="*/ 1251857 h 3450772"/>
              <a:gd name="connsiteX136" fmla="*/ 462642 w 2500127"/>
              <a:gd name="connsiteY136" fmla="*/ 1300843 h 3450772"/>
              <a:gd name="connsiteX137" fmla="*/ 582385 w 2500127"/>
              <a:gd name="connsiteY137" fmla="*/ 1409700 h 3450772"/>
              <a:gd name="connsiteX138" fmla="*/ 620485 w 2500127"/>
              <a:gd name="connsiteY138" fmla="*/ 1513114 h 3450772"/>
              <a:gd name="connsiteX139" fmla="*/ 653142 w 2500127"/>
              <a:gd name="connsiteY139" fmla="*/ 1464129 h 3450772"/>
              <a:gd name="connsiteX140" fmla="*/ 625928 w 2500127"/>
              <a:gd name="connsiteY140" fmla="*/ 1344386 h 3450772"/>
              <a:gd name="connsiteX141" fmla="*/ 484414 w 2500127"/>
              <a:gd name="connsiteY141" fmla="*/ 1197429 h 3450772"/>
              <a:gd name="connsiteX142" fmla="*/ 435428 w 2500127"/>
              <a:gd name="connsiteY142" fmla="*/ 1164772 h 3450772"/>
              <a:gd name="connsiteX143" fmla="*/ 381000 w 2500127"/>
              <a:gd name="connsiteY143" fmla="*/ 1137557 h 3450772"/>
              <a:gd name="connsiteX144" fmla="*/ 370114 w 2500127"/>
              <a:gd name="connsiteY144" fmla="*/ 1083129 h 3450772"/>
              <a:gd name="connsiteX145" fmla="*/ 424542 w 2500127"/>
              <a:gd name="connsiteY145" fmla="*/ 1050472 h 3450772"/>
              <a:gd name="connsiteX146" fmla="*/ 468085 w 2500127"/>
              <a:gd name="connsiteY146" fmla="*/ 968829 h 3450772"/>
              <a:gd name="connsiteX147" fmla="*/ 446314 w 2500127"/>
              <a:gd name="connsiteY147" fmla="*/ 892629 h 3450772"/>
              <a:gd name="connsiteX148" fmla="*/ 446314 w 2500127"/>
              <a:gd name="connsiteY148" fmla="*/ 892629 h 3450772"/>
              <a:gd name="connsiteX149" fmla="*/ 478971 w 2500127"/>
              <a:gd name="connsiteY149" fmla="*/ 881743 h 3450772"/>
              <a:gd name="connsiteX150" fmla="*/ 424542 w 2500127"/>
              <a:gd name="connsiteY150" fmla="*/ 789214 h 3450772"/>
              <a:gd name="connsiteX151" fmla="*/ 386442 w 2500127"/>
              <a:gd name="connsiteY151" fmla="*/ 778329 h 3450772"/>
              <a:gd name="connsiteX152" fmla="*/ 429985 w 2500127"/>
              <a:gd name="connsiteY152" fmla="*/ 685800 h 3450772"/>
              <a:gd name="connsiteX153" fmla="*/ 451757 w 2500127"/>
              <a:gd name="connsiteY153" fmla="*/ 658586 h 3450772"/>
              <a:gd name="connsiteX154" fmla="*/ 560614 w 2500127"/>
              <a:gd name="connsiteY154" fmla="*/ 620486 h 3450772"/>
              <a:gd name="connsiteX155" fmla="*/ 560614 w 2500127"/>
              <a:gd name="connsiteY155" fmla="*/ 620486 h 3450772"/>
              <a:gd name="connsiteX156" fmla="*/ 636814 w 2500127"/>
              <a:gd name="connsiteY156" fmla="*/ 647700 h 3450772"/>
              <a:gd name="connsiteX157" fmla="*/ 658585 w 2500127"/>
              <a:gd name="connsiteY157" fmla="*/ 674914 h 3450772"/>
              <a:gd name="connsiteX158" fmla="*/ 772885 w 2500127"/>
              <a:gd name="connsiteY158" fmla="*/ 615043 h 3450772"/>
              <a:gd name="connsiteX159" fmla="*/ 745671 w 2500127"/>
              <a:gd name="connsiteY159" fmla="*/ 582386 h 3450772"/>
              <a:gd name="connsiteX160" fmla="*/ 740228 w 2500127"/>
              <a:gd name="connsiteY160" fmla="*/ 506186 h 3450772"/>
              <a:gd name="connsiteX161" fmla="*/ 702128 w 2500127"/>
              <a:gd name="connsiteY161" fmla="*/ 353786 h 3450772"/>
              <a:gd name="connsiteX162" fmla="*/ 685800 w 2500127"/>
              <a:gd name="connsiteY162" fmla="*/ 277586 h 3450772"/>
              <a:gd name="connsiteX163" fmla="*/ 674914 w 2500127"/>
              <a:gd name="connsiteY163" fmla="*/ 244929 h 3450772"/>
              <a:gd name="connsiteX164" fmla="*/ 615042 w 2500127"/>
              <a:gd name="connsiteY164" fmla="*/ 179614 h 3450772"/>
              <a:gd name="connsiteX165" fmla="*/ 604157 w 2500127"/>
              <a:gd name="connsiteY165" fmla="*/ 136072 h 3450772"/>
              <a:gd name="connsiteX166" fmla="*/ 598714 w 2500127"/>
              <a:gd name="connsiteY166" fmla="*/ 130629 h 3450772"/>
              <a:gd name="connsiteX167" fmla="*/ 734785 w 2500127"/>
              <a:gd name="connsiteY167" fmla="*/ 125186 h 3450772"/>
              <a:gd name="connsiteX168" fmla="*/ 745671 w 2500127"/>
              <a:gd name="connsiteY168" fmla="*/ 125186 h 3450772"/>
              <a:gd name="connsiteX169" fmla="*/ 810985 w 2500127"/>
              <a:gd name="connsiteY169" fmla="*/ 59872 h 3450772"/>
              <a:gd name="connsiteX170" fmla="*/ 985157 w 2500127"/>
              <a:gd name="connsiteY170" fmla="*/ 43543 h 3450772"/>
              <a:gd name="connsiteX171" fmla="*/ 1017814 w 2500127"/>
              <a:gd name="connsiteY171" fmla="*/ 81643 h 3450772"/>
              <a:gd name="connsiteX172" fmla="*/ 1126671 w 2500127"/>
              <a:gd name="connsiteY172"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69136 w 2500127"/>
              <a:gd name="connsiteY44" fmla="*/ 1627414 h 3450772"/>
              <a:gd name="connsiteX45" fmla="*/ 2260641 w 2500127"/>
              <a:gd name="connsiteY45" fmla="*/ 1676400 h 3450772"/>
              <a:gd name="connsiteX46" fmla="*/ 2209800 w 2500127"/>
              <a:gd name="connsiteY46" fmla="*/ 1741714 h 3450772"/>
              <a:gd name="connsiteX47" fmla="*/ 2198914 w 2500127"/>
              <a:gd name="connsiteY47" fmla="*/ 1763486 h 3450772"/>
              <a:gd name="connsiteX48" fmla="*/ 2106385 w 2500127"/>
              <a:gd name="connsiteY48" fmla="*/ 1763486 h 3450772"/>
              <a:gd name="connsiteX49" fmla="*/ 2046514 w 2500127"/>
              <a:gd name="connsiteY49" fmla="*/ 1779814 h 3450772"/>
              <a:gd name="connsiteX50" fmla="*/ 1943100 w 2500127"/>
              <a:gd name="connsiteY50" fmla="*/ 1714500 h 3450772"/>
              <a:gd name="connsiteX51" fmla="*/ 1845128 w 2500127"/>
              <a:gd name="connsiteY51" fmla="*/ 1714500 h 3450772"/>
              <a:gd name="connsiteX52" fmla="*/ 1823357 w 2500127"/>
              <a:gd name="connsiteY52" fmla="*/ 1845129 h 3450772"/>
              <a:gd name="connsiteX53" fmla="*/ 1768928 w 2500127"/>
              <a:gd name="connsiteY53" fmla="*/ 1888672 h 3450772"/>
              <a:gd name="connsiteX54" fmla="*/ 1763485 w 2500127"/>
              <a:gd name="connsiteY54" fmla="*/ 1937657 h 3450772"/>
              <a:gd name="connsiteX55" fmla="*/ 1714500 w 2500127"/>
              <a:gd name="connsiteY55" fmla="*/ 1959429 h 3450772"/>
              <a:gd name="connsiteX56" fmla="*/ 1621971 w 2500127"/>
              <a:gd name="connsiteY56" fmla="*/ 2073729 h 3450772"/>
              <a:gd name="connsiteX57" fmla="*/ 1589314 w 2500127"/>
              <a:gd name="connsiteY57" fmla="*/ 2100943 h 3450772"/>
              <a:gd name="connsiteX58" fmla="*/ 1616528 w 2500127"/>
              <a:gd name="connsiteY58" fmla="*/ 2220686 h 3450772"/>
              <a:gd name="connsiteX59" fmla="*/ 1529442 w 2500127"/>
              <a:gd name="connsiteY59" fmla="*/ 2253343 h 3450772"/>
              <a:gd name="connsiteX60" fmla="*/ 1534885 w 2500127"/>
              <a:gd name="connsiteY60" fmla="*/ 2280557 h 3450772"/>
              <a:gd name="connsiteX61" fmla="*/ 1524000 w 2500127"/>
              <a:gd name="connsiteY61" fmla="*/ 2291443 h 3450772"/>
              <a:gd name="connsiteX62" fmla="*/ 1556657 w 2500127"/>
              <a:gd name="connsiteY62" fmla="*/ 2307772 h 3450772"/>
              <a:gd name="connsiteX63" fmla="*/ 1507671 w 2500127"/>
              <a:gd name="connsiteY63" fmla="*/ 2383972 h 3450772"/>
              <a:gd name="connsiteX64" fmla="*/ 1524000 w 2500127"/>
              <a:gd name="connsiteY64" fmla="*/ 2416629 h 3450772"/>
              <a:gd name="connsiteX65" fmla="*/ 1485900 w 2500127"/>
              <a:gd name="connsiteY65" fmla="*/ 2411186 h 3450772"/>
              <a:gd name="connsiteX66" fmla="*/ 1442357 w 2500127"/>
              <a:gd name="connsiteY66" fmla="*/ 2481943 h 3450772"/>
              <a:gd name="connsiteX67" fmla="*/ 1382485 w 2500127"/>
              <a:gd name="connsiteY67" fmla="*/ 2492829 h 3450772"/>
              <a:gd name="connsiteX68" fmla="*/ 1295400 w 2500127"/>
              <a:gd name="connsiteY68" fmla="*/ 2471057 h 3450772"/>
              <a:gd name="connsiteX69" fmla="*/ 1246414 w 2500127"/>
              <a:gd name="connsiteY69" fmla="*/ 2503714 h 3450772"/>
              <a:gd name="connsiteX70" fmla="*/ 1208314 w 2500127"/>
              <a:gd name="connsiteY70" fmla="*/ 2509157 h 3450772"/>
              <a:gd name="connsiteX71" fmla="*/ 1132114 w 2500127"/>
              <a:gd name="connsiteY71" fmla="*/ 2509157 h 3450772"/>
              <a:gd name="connsiteX72" fmla="*/ 1121228 w 2500127"/>
              <a:gd name="connsiteY72" fmla="*/ 2503714 h 3450772"/>
              <a:gd name="connsiteX73" fmla="*/ 1104900 w 2500127"/>
              <a:gd name="connsiteY73" fmla="*/ 2541814 h 3450772"/>
              <a:gd name="connsiteX74" fmla="*/ 1066800 w 2500127"/>
              <a:gd name="connsiteY74" fmla="*/ 2530929 h 3450772"/>
              <a:gd name="connsiteX75" fmla="*/ 1034142 w 2500127"/>
              <a:gd name="connsiteY75" fmla="*/ 2585357 h 3450772"/>
              <a:gd name="connsiteX76" fmla="*/ 1012371 w 2500127"/>
              <a:gd name="connsiteY76" fmla="*/ 2547257 h 3450772"/>
              <a:gd name="connsiteX77" fmla="*/ 892628 w 2500127"/>
              <a:gd name="connsiteY77" fmla="*/ 2585357 h 3450772"/>
              <a:gd name="connsiteX78" fmla="*/ 887185 w 2500127"/>
              <a:gd name="connsiteY78" fmla="*/ 2590800 h 3450772"/>
              <a:gd name="connsiteX79" fmla="*/ 898071 w 2500127"/>
              <a:gd name="connsiteY79" fmla="*/ 2661557 h 3450772"/>
              <a:gd name="connsiteX80" fmla="*/ 838200 w 2500127"/>
              <a:gd name="connsiteY80" fmla="*/ 2786743 h 3450772"/>
              <a:gd name="connsiteX81" fmla="*/ 854528 w 2500127"/>
              <a:gd name="connsiteY81" fmla="*/ 2830286 h 3450772"/>
              <a:gd name="connsiteX82" fmla="*/ 936171 w 2500127"/>
              <a:gd name="connsiteY82" fmla="*/ 2824843 h 3450772"/>
              <a:gd name="connsiteX83" fmla="*/ 979714 w 2500127"/>
              <a:gd name="connsiteY83" fmla="*/ 2906486 h 3450772"/>
              <a:gd name="connsiteX84" fmla="*/ 985157 w 2500127"/>
              <a:gd name="connsiteY84" fmla="*/ 2911929 h 3450772"/>
              <a:gd name="connsiteX85" fmla="*/ 985157 w 2500127"/>
              <a:gd name="connsiteY85" fmla="*/ 2911929 h 3450772"/>
              <a:gd name="connsiteX86" fmla="*/ 1001485 w 2500127"/>
              <a:gd name="connsiteY86" fmla="*/ 2960914 h 3450772"/>
              <a:gd name="connsiteX87" fmla="*/ 1006928 w 2500127"/>
              <a:gd name="connsiteY87" fmla="*/ 3048000 h 3450772"/>
              <a:gd name="connsiteX88" fmla="*/ 979714 w 2500127"/>
              <a:gd name="connsiteY88" fmla="*/ 3053443 h 3450772"/>
              <a:gd name="connsiteX89" fmla="*/ 974271 w 2500127"/>
              <a:gd name="connsiteY89" fmla="*/ 3053443 h 3450772"/>
              <a:gd name="connsiteX90" fmla="*/ 985157 w 2500127"/>
              <a:gd name="connsiteY90" fmla="*/ 3086100 h 3450772"/>
              <a:gd name="connsiteX91" fmla="*/ 881742 w 2500127"/>
              <a:gd name="connsiteY91" fmla="*/ 3216729 h 3450772"/>
              <a:gd name="connsiteX92" fmla="*/ 892628 w 2500127"/>
              <a:gd name="connsiteY92" fmla="*/ 3260272 h 3450772"/>
              <a:gd name="connsiteX93" fmla="*/ 849085 w 2500127"/>
              <a:gd name="connsiteY93" fmla="*/ 3276600 h 3450772"/>
              <a:gd name="connsiteX94" fmla="*/ 827314 w 2500127"/>
              <a:gd name="connsiteY94" fmla="*/ 3320143 h 3450772"/>
              <a:gd name="connsiteX95" fmla="*/ 810985 w 2500127"/>
              <a:gd name="connsiteY95" fmla="*/ 3369129 h 3450772"/>
              <a:gd name="connsiteX96" fmla="*/ 805542 w 2500127"/>
              <a:gd name="connsiteY96" fmla="*/ 3407229 h 3450772"/>
              <a:gd name="connsiteX97" fmla="*/ 805542 w 2500127"/>
              <a:gd name="connsiteY97" fmla="*/ 3423557 h 3450772"/>
              <a:gd name="connsiteX98" fmla="*/ 800100 w 2500127"/>
              <a:gd name="connsiteY98" fmla="*/ 3418114 h 3450772"/>
              <a:gd name="connsiteX99" fmla="*/ 778328 w 2500127"/>
              <a:gd name="connsiteY99" fmla="*/ 3418114 h 3450772"/>
              <a:gd name="connsiteX100" fmla="*/ 740228 w 2500127"/>
              <a:gd name="connsiteY100" fmla="*/ 3445329 h 3450772"/>
              <a:gd name="connsiteX101" fmla="*/ 702128 w 2500127"/>
              <a:gd name="connsiteY101" fmla="*/ 3434443 h 3450772"/>
              <a:gd name="connsiteX102" fmla="*/ 702128 w 2500127"/>
              <a:gd name="connsiteY102" fmla="*/ 3434443 h 3450772"/>
              <a:gd name="connsiteX103" fmla="*/ 664028 w 2500127"/>
              <a:gd name="connsiteY103" fmla="*/ 3450772 h 3450772"/>
              <a:gd name="connsiteX104" fmla="*/ 571500 w 2500127"/>
              <a:gd name="connsiteY104" fmla="*/ 3380014 h 3450772"/>
              <a:gd name="connsiteX105" fmla="*/ 533400 w 2500127"/>
              <a:gd name="connsiteY105" fmla="*/ 3309257 h 3450772"/>
              <a:gd name="connsiteX106" fmla="*/ 462642 w 2500127"/>
              <a:gd name="connsiteY106" fmla="*/ 3303814 h 3450772"/>
              <a:gd name="connsiteX107" fmla="*/ 277585 w 2500127"/>
              <a:gd name="connsiteY107" fmla="*/ 3243943 h 3450772"/>
              <a:gd name="connsiteX108" fmla="*/ 266700 w 2500127"/>
              <a:gd name="connsiteY108" fmla="*/ 3194957 h 3450772"/>
              <a:gd name="connsiteX109" fmla="*/ 228600 w 2500127"/>
              <a:gd name="connsiteY109" fmla="*/ 3194957 h 3450772"/>
              <a:gd name="connsiteX110" fmla="*/ 223157 w 2500127"/>
              <a:gd name="connsiteY110" fmla="*/ 3216729 h 3450772"/>
              <a:gd name="connsiteX111" fmla="*/ 223157 w 2500127"/>
              <a:gd name="connsiteY111" fmla="*/ 3243943 h 3450772"/>
              <a:gd name="connsiteX112" fmla="*/ 190500 w 2500127"/>
              <a:gd name="connsiteY112" fmla="*/ 3233057 h 3450772"/>
              <a:gd name="connsiteX113" fmla="*/ 163285 w 2500127"/>
              <a:gd name="connsiteY113" fmla="*/ 3211286 h 3450772"/>
              <a:gd name="connsiteX114" fmla="*/ 152400 w 2500127"/>
              <a:gd name="connsiteY114" fmla="*/ 3194957 h 3450772"/>
              <a:gd name="connsiteX115" fmla="*/ 174171 w 2500127"/>
              <a:gd name="connsiteY115" fmla="*/ 3151414 h 3450772"/>
              <a:gd name="connsiteX116" fmla="*/ 201385 w 2500127"/>
              <a:gd name="connsiteY116" fmla="*/ 3102429 h 3450772"/>
              <a:gd name="connsiteX117" fmla="*/ 185057 w 2500127"/>
              <a:gd name="connsiteY117" fmla="*/ 3064329 h 3450772"/>
              <a:gd name="connsiteX118" fmla="*/ 185057 w 2500127"/>
              <a:gd name="connsiteY118" fmla="*/ 3042557 h 3450772"/>
              <a:gd name="connsiteX119" fmla="*/ 125185 w 2500127"/>
              <a:gd name="connsiteY119" fmla="*/ 3042557 h 3450772"/>
              <a:gd name="connsiteX120" fmla="*/ 103414 w 2500127"/>
              <a:gd name="connsiteY120" fmla="*/ 3031672 h 3450772"/>
              <a:gd name="connsiteX121" fmla="*/ 70757 w 2500127"/>
              <a:gd name="connsiteY121" fmla="*/ 3058886 h 3450772"/>
              <a:gd name="connsiteX122" fmla="*/ 65314 w 2500127"/>
              <a:gd name="connsiteY122" fmla="*/ 3020786 h 3450772"/>
              <a:gd name="connsiteX123" fmla="*/ 0 w 2500127"/>
              <a:gd name="connsiteY123" fmla="*/ 2982686 h 3450772"/>
              <a:gd name="connsiteX124" fmla="*/ 54428 w 2500127"/>
              <a:gd name="connsiteY124" fmla="*/ 2933700 h 3450772"/>
              <a:gd name="connsiteX125" fmla="*/ 179614 w 2500127"/>
              <a:gd name="connsiteY125" fmla="*/ 2770414 h 3450772"/>
              <a:gd name="connsiteX126" fmla="*/ 326571 w 2500127"/>
              <a:gd name="connsiteY126" fmla="*/ 2122714 h 3450772"/>
              <a:gd name="connsiteX127" fmla="*/ 315685 w 2500127"/>
              <a:gd name="connsiteY127" fmla="*/ 2046514 h 3450772"/>
              <a:gd name="connsiteX128" fmla="*/ 359228 w 2500127"/>
              <a:gd name="connsiteY128" fmla="*/ 1964872 h 3450772"/>
              <a:gd name="connsiteX129" fmla="*/ 435428 w 2500127"/>
              <a:gd name="connsiteY129" fmla="*/ 1970314 h 3450772"/>
              <a:gd name="connsiteX130" fmla="*/ 440871 w 2500127"/>
              <a:gd name="connsiteY130" fmla="*/ 1937657 h 3450772"/>
              <a:gd name="connsiteX131" fmla="*/ 391885 w 2500127"/>
              <a:gd name="connsiteY131" fmla="*/ 1883229 h 3450772"/>
              <a:gd name="connsiteX132" fmla="*/ 386442 w 2500127"/>
              <a:gd name="connsiteY132" fmla="*/ 1872343 h 3450772"/>
              <a:gd name="connsiteX133" fmla="*/ 326571 w 2500127"/>
              <a:gd name="connsiteY133" fmla="*/ 1948543 h 3450772"/>
              <a:gd name="connsiteX134" fmla="*/ 408214 w 2500127"/>
              <a:gd name="connsiteY134" fmla="*/ 1338943 h 3450772"/>
              <a:gd name="connsiteX135" fmla="*/ 446314 w 2500127"/>
              <a:gd name="connsiteY135" fmla="*/ 1251857 h 3450772"/>
              <a:gd name="connsiteX136" fmla="*/ 462642 w 2500127"/>
              <a:gd name="connsiteY136" fmla="*/ 1300843 h 3450772"/>
              <a:gd name="connsiteX137" fmla="*/ 582385 w 2500127"/>
              <a:gd name="connsiteY137" fmla="*/ 1409700 h 3450772"/>
              <a:gd name="connsiteX138" fmla="*/ 620485 w 2500127"/>
              <a:gd name="connsiteY138" fmla="*/ 1513114 h 3450772"/>
              <a:gd name="connsiteX139" fmla="*/ 653142 w 2500127"/>
              <a:gd name="connsiteY139" fmla="*/ 1464129 h 3450772"/>
              <a:gd name="connsiteX140" fmla="*/ 625928 w 2500127"/>
              <a:gd name="connsiteY140" fmla="*/ 1344386 h 3450772"/>
              <a:gd name="connsiteX141" fmla="*/ 484414 w 2500127"/>
              <a:gd name="connsiteY141" fmla="*/ 1197429 h 3450772"/>
              <a:gd name="connsiteX142" fmla="*/ 435428 w 2500127"/>
              <a:gd name="connsiteY142" fmla="*/ 1164772 h 3450772"/>
              <a:gd name="connsiteX143" fmla="*/ 381000 w 2500127"/>
              <a:gd name="connsiteY143" fmla="*/ 1137557 h 3450772"/>
              <a:gd name="connsiteX144" fmla="*/ 370114 w 2500127"/>
              <a:gd name="connsiteY144" fmla="*/ 1083129 h 3450772"/>
              <a:gd name="connsiteX145" fmla="*/ 424542 w 2500127"/>
              <a:gd name="connsiteY145" fmla="*/ 1050472 h 3450772"/>
              <a:gd name="connsiteX146" fmla="*/ 468085 w 2500127"/>
              <a:gd name="connsiteY146" fmla="*/ 968829 h 3450772"/>
              <a:gd name="connsiteX147" fmla="*/ 446314 w 2500127"/>
              <a:gd name="connsiteY147" fmla="*/ 892629 h 3450772"/>
              <a:gd name="connsiteX148" fmla="*/ 446314 w 2500127"/>
              <a:gd name="connsiteY148" fmla="*/ 892629 h 3450772"/>
              <a:gd name="connsiteX149" fmla="*/ 478971 w 2500127"/>
              <a:gd name="connsiteY149" fmla="*/ 881743 h 3450772"/>
              <a:gd name="connsiteX150" fmla="*/ 424542 w 2500127"/>
              <a:gd name="connsiteY150" fmla="*/ 789214 h 3450772"/>
              <a:gd name="connsiteX151" fmla="*/ 386442 w 2500127"/>
              <a:gd name="connsiteY151" fmla="*/ 778329 h 3450772"/>
              <a:gd name="connsiteX152" fmla="*/ 429985 w 2500127"/>
              <a:gd name="connsiteY152" fmla="*/ 685800 h 3450772"/>
              <a:gd name="connsiteX153" fmla="*/ 451757 w 2500127"/>
              <a:gd name="connsiteY153" fmla="*/ 658586 h 3450772"/>
              <a:gd name="connsiteX154" fmla="*/ 560614 w 2500127"/>
              <a:gd name="connsiteY154" fmla="*/ 620486 h 3450772"/>
              <a:gd name="connsiteX155" fmla="*/ 560614 w 2500127"/>
              <a:gd name="connsiteY155" fmla="*/ 620486 h 3450772"/>
              <a:gd name="connsiteX156" fmla="*/ 636814 w 2500127"/>
              <a:gd name="connsiteY156" fmla="*/ 647700 h 3450772"/>
              <a:gd name="connsiteX157" fmla="*/ 658585 w 2500127"/>
              <a:gd name="connsiteY157" fmla="*/ 674914 h 3450772"/>
              <a:gd name="connsiteX158" fmla="*/ 772885 w 2500127"/>
              <a:gd name="connsiteY158" fmla="*/ 615043 h 3450772"/>
              <a:gd name="connsiteX159" fmla="*/ 745671 w 2500127"/>
              <a:gd name="connsiteY159" fmla="*/ 582386 h 3450772"/>
              <a:gd name="connsiteX160" fmla="*/ 740228 w 2500127"/>
              <a:gd name="connsiteY160" fmla="*/ 506186 h 3450772"/>
              <a:gd name="connsiteX161" fmla="*/ 702128 w 2500127"/>
              <a:gd name="connsiteY161" fmla="*/ 353786 h 3450772"/>
              <a:gd name="connsiteX162" fmla="*/ 685800 w 2500127"/>
              <a:gd name="connsiteY162" fmla="*/ 277586 h 3450772"/>
              <a:gd name="connsiteX163" fmla="*/ 674914 w 2500127"/>
              <a:gd name="connsiteY163" fmla="*/ 244929 h 3450772"/>
              <a:gd name="connsiteX164" fmla="*/ 615042 w 2500127"/>
              <a:gd name="connsiteY164" fmla="*/ 179614 h 3450772"/>
              <a:gd name="connsiteX165" fmla="*/ 604157 w 2500127"/>
              <a:gd name="connsiteY165" fmla="*/ 136072 h 3450772"/>
              <a:gd name="connsiteX166" fmla="*/ 598714 w 2500127"/>
              <a:gd name="connsiteY166" fmla="*/ 130629 h 3450772"/>
              <a:gd name="connsiteX167" fmla="*/ 734785 w 2500127"/>
              <a:gd name="connsiteY167" fmla="*/ 125186 h 3450772"/>
              <a:gd name="connsiteX168" fmla="*/ 745671 w 2500127"/>
              <a:gd name="connsiteY168" fmla="*/ 125186 h 3450772"/>
              <a:gd name="connsiteX169" fmla="*/ 810985 w 2500127"/>
              <a:gd name="connsiteY169" fmla="*/ 59872 h 3450772"/>
              <a:gd name="connsiteX170" fmla="*/ 985157 w 2500127"/>
              <a:gd name="connsiteY170" fmla="*/ 43543 h 3450772"/>
              <a:gd name="connsiteX171" fmla="*/ 1017814 w 2500127"/>
              <a:gd name="connsiteY171" fmla="*/ 81643 h 3450772"/>
              <a:gd name="connsiteX172" fmla="*/ 1126671 w 2500127"/>
              <a:gd name="connsiteY172"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69136 w 2500127"/>
              <a:gd name="connsiteY44" fmla="*/ 1627414 h 3450772"/>
              <a:gd name="connsiteX45" fmla="*/ 2260641 w 2500127"/>
              <a:gd name="connsiteY45" fmla="*/ 1676400 h 3450772"/>
              <a:gd name="connsiteX46" fmla="*/ 2209800 w 2500127"/>
              <a:gd name="connsiteY46" fmla="*/ 1741714 h 3450772"/>
              <a:gd name="connsiteX47" fmla="*/ 2198914 w 2500127"/>
              <a:gd name="connsiteY47" fmla="*/ 1763486 h 3450772"/>
              <a:gd name="connsiteX48" fmla="*/ 2106385 w 2500127"/>
              <a:gd name="connsiteY48" fmla="*/ 1763486 h 3450772"/>
              <a:gd name="connsiteX49" fmla="*/ 2046514 w 2500127"/>
              <a:gd name="connsiteY49" fmla="*/ 1779814 h 3450772"/>
              <a:gd name="connsiteX50" fmla="*/ 1943100 w 2500127"/>
              <a:gd name="connsiteY50" fmla="*/ 1714500 h 3450772"/>
              <a:gd name="connsiteX51" fmla="*/ 1845128 w 2500127"/>
              <a:gd name="connsiteY51" fmla="*/ 1714500 h 3450772"/>
              <a:gd name="connsiteX52" fmla="*/ 1823357 w 2500127"/>
              <a:gd name="connsiteY52" fmla="*/ 1845129 h 3450772"/>
              <a:gd name="connsiteX53" fmla="*/ 1768928 w 2500127"/>
              <a:gd name="connsiteY53" fmla="*/ 1888672 h 3450772"/>
              <a:gd name="connsiteX54" fmla="*/ 1763485 w 2500127"/>
              <a:gd name="connsiteY54" fmla="*/ 1937657 h 3450772"/>
              <a:gd name="connsiteX55" fmla="*/ 1714500 w 2500127"/>
              <a:gd name="connsiteY55" fmla="*/ 1959429 h 3450772"/>
              <a:gd name="connsiteX56" fmla="*/ 1621971 w 2500127"/>
              <a:gd name="connsiteY56" fmla="*/ 2073729 h 3450772"/>
              <a:gd name="connsiteX57" fmla="*/ 1589314 w 2500127"/>
              <a:gd name="connsiteY57" fmla="*/ 2100943 h 3450772"/>
              <a:gd name="connsiteX58" fmla="*/ 1616528 w 2500127"/>
              <a:gd name="connsiteY58" fmla="*/ 2220686 h 3450772"/>
              <a:gd name="connsiteX59" fmla="*/ 1529442 w 2500127"/>
              <a:gd name="connsiteY59" fmla="*/ 2253343 h 3450772"/>
              <a:gd name="connsiteX60" fmla="*/ 1534885 w 2500127"/>
              <a:gd name="connsiteY60" fmla="*/ 2280557 h 3450772"/>
              <a:gd name="connsiteX61" fmla="*/ 1524000 w 2500127"/>
              <a:gd name="connsiteY61" fmla="*/ 2291443 h 3450772"/>
              <a:gd name="connsiteX62" fmla="*/ 1556657 w 2500127"/>
              <a:gd name="connsiteY62" fmla="*/ 2307772 h 3450772"/>
              <a:gd name="connsiteX63" fmla="*/ 1507671 w 2500127"/>
              <a:gd name="connsiteY63" fmla="*/ 2383972 h 3450772"/>
              <a:gd name="connsiteX64" fmla="*/ 1524000 w 2500127"/>
              <a:gd name="connsiteY64" fmla="*/ 2416629 h 3450772"/>
              <a:gd name="connsiteX65" fmla="*/ 1485900 w 2500127"/>
              <a:gd name="connsiteY65" fmla="*/ 2411186 h 3450772"/>
              <a:gd name="connsiteX66" fmla="*/ 1442357 w 2500127"/>
              <a:gd name="connsiteY66" fmla="*/ 2481943 h 3450772"/>
              <a:gd name="connsiteX67" fmla="*/ 1382485 w 2500127"/>
              <a:gd name="connsiteY67" fmla="*/ 2492829 h 3450772"/>
              <a:gd name="connsiteX68" fmla="*/ 1295400 w 2500127"/>
              <a:gd name="connsiteY68" fmla="*/ 2471057 h 3450772"/>
              <a:gd name="connsiteX69" fmla="*/ 1246414 w 2500127"/>
              <a:gd name="connsiteY69" fmla="*/ 2503714 h 3450772"/>
              <a:gd name="connsiteX70" fmla="*/ 1208314 w 2500127"/>
              <a:gd name="connsiteY70" fmla="*/ 2509157 h 3450772"/>
              <a:gd name="connsiteX71" fmla="*/ 1132114 w 2500127"/>
              <a:gd name="connsiteY71" fmla="*/ 2509157 h 3450772"/>
              <a:gd name="connsiteX72" fmla="*/ 1121228 w 2500127"/>
              <a:gd name="connsiteY72" fmla="*/ 2503714 h 3450772"/>
              <a:gd name="connsiteX73" fmla="*/ 1104900 w 2500127"/>
              <a:gd name="connsiteY73" fmla="*/ 2541814 h 3450772"/>
              <a:gd name="connsiteX74" fmla="*/ 1066800 w 2500127"/>
              <a:gd name="connsiteY74" fmla="*/ 2530929 h 3450772"/>
              <a:gd name="connsiteX75" fmla="*/ 1034142 w 2500127"/>
              <a:gd name="connsiteY75" fmla="*/ 2585357 h 3450772"/>
              <a:gd name="connsiteX76" fmla="*/ 1012371 w 2500127"/>
              <a:gd name="connsiteY76" fmla="*/ 2547257 h 3450772"/>
              <a:gd name="connsiteX77" fmla="*/ 892628 w 2500127"/>
              <a:gd name="connsiteY77" fmla="*/ 2585357 h 3450772"/>
              <a:gd name="connsiteX78" fmla="*/ 887185 w 2500127"/>
              <a:gd name="connsiteY78" fmla="*/ 2590800 h 3450772"/>
              <a:gd name="connsiteX79" fmla="*/ 898071 w 2500127"/>
              <a:gd name="connsiteY79" fmla="*/ 2661557 h 3450772"/>
              <a:gd name="connsiteX80" fmla="*/ 838200 w 2500127"/>
              <a:gd name="connsiteY80" fmla="*/ 2786743 h 3450772"/>
              <a:gd name="connsiteX81" fmla="*/ 854528 w 2500127"/>
              <a:gd name="connsiteY81" fmla="*/ 2830286 h 3450772"/>
              <a:gd name="connsiteX82" fmla="*/ 936171 w 2500127"/>
              <a:gd name="connsiteY82" fmla="*/ 2824843 h 3450772"/>
              <a:gd name="connsiteX83" fmla="*/ 979714 w 2500127"/>
              <a:gd name="connsiteY83" fmla="*/ 2906486 h 3450772"/>
              <a:gd name="connsiteX84" fmla="*/ 985157 w 2500127"/>
              <a:gd name="connsiteY84" fmla="*/ 2911929 h 3450772"/>
              <a:gd name="connsiteX85" fmla="*/ 985157 w 2500127"/>
              <a:gd name="connsiteY85" fmla="*/ 2911929 h 3450772"/>
              <a:gd name="connsiteX86" fmla="*/ 1001485 w 2500127"/>
              <a:gd name="connsiteY86" fmla="*/ 2960914 h 3450772"/>
              <a:gd name="connsiteX87" fmla="*/ 1006928 w 2500127"/>
              <a:gd name="connsiteY87" fmla="*/ 3048000 h 3450772"/>
              <a:gd name="connsiteX88" fmla="*/ 979714 w 2500127"/>
              <a:gd name="connsiteY88" fmla="*/ 3053443 h 3450772"/>
              <a:gd name="connsiteX89" fmla="*/ 985157 w 2500127"/>
              <a:gd name="connsiteY89" fmla="*/ 3086100 h 3450772"/>
              <a:gd name="connsiteX90" fmla="*/ 881742 w 2500127"/>
              <a:gd name="connsiteY90" fmla="*/ 3216729 h 3450772"/>
              <a:gd name="connsiteX91" fmla="*/ 892628 w 2500127"/>
              <a:gd name="connsiteY91" fmla="*/ 3260272 h 3450772"/>
              <a:gd name="connsiteX92" fmla="*/ 849085 w 2500127"/>
              <a:gd name="connsiteY92" fmla="*/ 3276600 h 3450772"/>
              <a:gd name="connsiteX93" fmla="*/ 827314 w 2500127"/>
              <a:gd name="connsiteY93" fmla="*/ 3320143 h 3450772"/>
              <a:gd name="connsiteX94" fmla="*/ 810985 w 2500127"/>
              <a:gd name="connsiteY94" fmla="*/ 3369129 h 3450772"/>
              <a:gd name="connsiteX95" fmla="*/ 805542 w 2500127"/>
              <a:gd name="connsiteY95" fmla="*/ 3407229 h 3450772"/>
              <a:gd name="connsiteX96" fmla="*/ 805542 w 2500127"/>
              <a:gd name="connsiteY96" fmla="*/ 3423557 h 3450772"/>
              <a:gd name="connsiteX97" fmla="*/ 800100 w 2500127"/>
              <a:gd name="connsiteY97" fmla="*/ 3418114 h 3450772"/>
              <a:gd name="connsiteX98" fmla="*/ 778328 w 2500127"/>
              <a:gd name="connsiteY98" fmla="*/ 3418114 h 3450772"/>
              <a:gd name="connsiteX99" fmla="*/ 740228 w 2500127"/>
              <a:gd name="connsiteY99" fmla="*/ 3445329 h 3450772"/>
              <a:gd name="connsiteX100" fmla="*/ 702128 w 2500127"/>
              <a:gd name="connsiteY100" fmla="*/ 3434443 h 3450772"/>
              <a:gd name="connsiteX101" fmla="*/ 702128 w 2500127"/>
              <a:gd name="connsiteY101" fmla="*/ 3434443 h 3450772"/>
              <a:gd name="connsiteX102" fmla="*/ 664028 w 2500127"/>
              <a:gd name="connsiteY102" fmla="*/ 3450772 h 3450772"/>
              <a:gd name="connsiteX103" fmla="*/ 571500 w 2500127"/>
              <a:gd name="connsiteY103" fmla="*/ 3380014 h 3450772"/>
              <a:gd name="connsiteX104" fmla="*/ 533400 w 2500127"/>
              <a:gd name="connsiteY104" fmla="*/ 3309257 h 3450772"/>
              <a:gd name="connsiteX105" fmla="*/ 462642 w 2500127"/>
              <a:gd name="connsiteY105" fmla="*/ 3303814 h 3450772"/>
              <a:gd name="connsiteX106" fmla="*/ 277585 w 2500127"/>
              <a:gd name="connsiteY106" fmla="*/ 3243943 h 3450772"/>
              <a:gd name="connsiteX107" fmla="*/ 266700 w 2500127"/>
              <a:gd name="connsiteY107" fmla="*/ 3194957 h 3450772"/>
              <a:gd name="connsiteX108" fmla="*/ 228600 w 2500127"/>
              <a:gd name="connsiteY108" fmla="*/ 3194957 h 3450772"/>
              <a:gd name="connsiteX109" fmla="*/ 223157 w 2500127"/>
              <a:gd name="connsiteY109" fmla="*/ 3216729 h 3450772"/>
              <a:gd name="connsiteX110" fmla="*/ 223157 w 2500127"/>
              <a:gd name="connsiteY110" fmla="*/ 3243943 h 3450772"/>
              <a:gd name="connsiteX111" fmla="*/ 190500 w 2500127"/>
              <a:gd name="connsiteY111" fmla="*/ 3233057 h 3450772"/>
              <a:gd name="connsiteX112" fmla="*/ 163285 w 2500127"/>
              <a:gd name="connsiteY112" fmla="*/ 3211286 h 3450772"/>
              <a:gd name="connsiteX113" fmla="*/ 152400 w 2500127"/>
              <a:gd name="connsiteY113" fmla="*/ 3194957 h 3450772"/>
              <a:gd name="connsiteX114" fmla="*/ 174171 w 2500127"/>
              <a:gd name="connsiteY114" fmla="*/ 3151414 h 3450772"/>
              <a:gd name="connsiteX115" fmla="*/ 201385 w 2500127"/>
              <a:gd name="connsiteY115" fmla="*/ 3102429 h 3450772"/>
              <a:gd name="connsiteX116" fmla="*/ 185057 w 2500127"/>
              <a:gd name="connsiteY116" fmla="*/ 3064329 h 3450772"/>
              <a:gd name="connsiteX117" fmla="*/ 185057 w 2500127"/>
              <a:gd name="connsiteY117" fmla="*/ 3042557 h 3450772"/>
              <a:gd name="connsiteX118" fmla="*/ 125185 w 2500127"/>
              <a:gd name="connsiteY118" fmla="*/ 3042557 h 3450772"/>
              <a:gd name="connsiteX119" fmla="*/ 103414 w 2500127"/>
              <a:gd name="connsiteY119" fmla="*/ 3031672 h 3450772"/>
              <a:gd name="connsiteX120" fmla="*/ 70757 w 2500127"/>
              <a:gd name="connsiteY120" fmla="*/ 3058886 h 3450772"/>
              <a:gd name="connsiteX121" fmla="*/ 65314 w 2500127"/>
              <a:gd name="connsiteY121" fmla="*/ 3020786 h 3450772"/>
              <a:gd name="connsiteX122" fmla="*/ 0 w 2500127"/>
              <a:gd name="connsiteY122" fmla="*/ 2982686 h 3450772"/>
              <a:gd name="connsiteX123" fmla="*/ 54428 w 2500127"/>
              <a:gd name="connsiteY123" fmla="*/ 2933700 h 3450772"/>
              <a:gd name="connsiteX124" fmla="*/ 179614 w 2500127"/>
              <a:gd name="connsiteY124" fmla="*/ 2770414 h 3450772"/>
              <a:gd name="connsiteX125" fmla="*/ 326571 w 2500127"/>
              <a:gd name="connsiteY125" fmla="*/ 2122714 h 3450772"/>
              <a:gd name="connsiteX126" fmla="*/ 315685 w 2500127"/>
              <a:gd name="connsiteY126" fmla="*/ 2046514 h 3450772"/>
              <a:gd name="connsiteX127" fmla="*/ 359228 w 2500127"/>
              <a:gd name="connsiteY127" fmla="*/ 1964872 h 3450772"/>
              <a:gd name="connsiteX128" fmla="*/ 435428 w 2500127"/>
              <a:gd name="connsiteY128" fmla="*/ 1970314 h 3450772"/>
              <a:gd name="connsiteX129" fmla="*/ 440871 w 2500127"/>
              <a:gd name="connsiteY129" fmla="*/ 1937657 h 3450772"/>
              <a:gd name="connsiteX130" fmla="*/ 391885 w 2500127"/>
              <a:gd name="connsiteY130" fmla="*/ 1883229 h 3450772"/>
              <a:gd name="connsiteX131" fmla="*/ 386442 w 2500127"/>
              <a:gd name="connsiteY131" fmla="*/ 1872343 h 3450772"/>
              <a:gd name="connsiteX132" fmla="*/ 326571 w 2500127"/>
              <a:gd name="connsiteY132" fmla="*/ 1948543 h 3450772"/>
              <a:gd name="connsiteX133" fmla="*/ 408214 w 2500127"/>
              <a:gd name="connsiteY133" fmla="*/ 1338943 h 3450772"/>
              <a:gd name="connsiteX134" fmla="*/ 446314 w 2500127"/>
              <a:gd name="connsiteY134" fmla="*/ 1251857 h 3450772"/>
              <a:gd name="connsiteX135" fmla="*/ 462642 w 2500127"/>
              <a:gd name="connsiteY135" fmla="*/ 1300843 h 3450772"/>
              <a:gd name="connsiteX136" fmla="*/ 582385 w 2500127"/>
              <a:gd name="connsiteY136" fmla="*/ 1409700 h 3450772"/>
              <a:gd name="connsiteX137" fmla="*/ 620485 w 2500127"/>
              <a:gd name="connsiteY137" fmla="*/ 1513114 h 3450772"/>
              <a:gd name="connsiteX138" fmla="*/ 653142 w 2500127"/>
              <a:gd name="connsiteY138" fmla="*/ 1464129 h 3450772"/>
              <a:gd name="connsiteX139" fmla="*/ 625928 w 2500127"/>
              <a:gd name="connsiteY139" fmla="*/ 1344386 h 3450772"/>
              <a:gd name="connsiteX140" fmla="*/ 484414 w 2500127"/>
              <a:gd name="connsiteY140" fmla="*/ 1197429 h 3450772"/>
              <a:gd name="connsiteX141" fmla="*/ 435428 w 2500127"/>
              <a:gd name="connsiteY141" fmla="*/ 1164772 h 3450772"/>
              <a:gd name="connsiteX142" fmla="*/ 381000 w 2500127"/>
              <a:gd name="connsiteY142" fmla="*/ 1137557 h 3450772"/>
              <a:gd name="connsiteX143" fmla="*/ 370114 w 2500127"/>
              <a:gd name="connsiteY143" fmla="*/ 1083129 h 3450772"/>
              <a:gd name="connsiteX144" fmla="*/ 424542 w 2500127"/>
              <a:gd name="connsiteY144" fmla="*/ 1050472 h 3450772"/>
              <a:gd name="connsiteX145" fmla="*/ 468085 w 2500127"/>
              <a:gd name="connsiteY145" fmla="*/ 968829 h 3450772"/>
              <a:gd name="connsiteX146" fmla="*/ 446314 w 2500127"/>
              <a:gd name="connsiteY146" fmla="*/ 892629 h 3450772"/>
              <a:gd name="connsiteX147" fmla="*/ 446314 w 2500127"/>
              <a:gd name="connsiteY147" fmla="*/ 892629 h 3450772"/>
              <a:gd name="connsiteX148" fmla="*/ 478971 w 2500127"/>
              <a:gd name="connsiteY148" fmla="*/ 881743 h 3450772"/>
              <a:gd name="connsiteX149" fmla="*/ 424542 w 2500127"/>
              <a:gd name="connsiteY149" fmla="*/ 789214 h 3450772"/>
              <a:gd name="connsiteX150" fmla="*/ 386442 w 2500127"/>
              <a:gd name="connsiteY150" fmla="*/ 778329 h 3450772"/>
              <a:gd name="connsiteX151" fmla="*/ 429985 w 2500127"/>
              <a:gd name="connsiteY151" fmla="*/ 685800 h 3450772"/>
              <a:gd name="connsiteX152" fmla="*/ 451757 w 2500127"/>
              <a:gd name="connsiteY152" fmla="*/ 658586 h 3450772"/>
              <a:gd name="connsiteX153" fmla="*/ 560614 w 2500127"/>
              <a:gd name="connsiteY153" fmla="*/ 620486 h 3450772"/>
              <a:gd name="connsiteX154" fmla="*/ 560614 w 2500127"/>
              <a:gd name="connsiteY154" fmla="*/ 620486 h 3450772"/>
              <a:gd name="connsiteX155" fmla="*/ 636814 w 2500127"/>
              <a:gd name="connsiteY155" fmla="*/ 647700 h 3450772"/>
              <a:gd name="connsiteX156" fmla="*/ 658585 w 2500127"/>
              <a:gd name="connsiteY156" fmla="*/ 674914 h 3450772"/>
              <a:gd name="connsiteX157" fmla="*/ 772885 w 2500127"/>
              <a:gd name="connsiteY157" fmla="*/ 615043 h 3450772"/>
              <a:gd name="connsiteX158" fmla="*/ 745671 w 2500127"/>
              <a:gd name="connsiteY158" fmla="*/ 582386 h 3450772"/>
              <a:gd name="connsiteX159" fmla="*/ 740228 w 2500127"/>
              <a:gd name="connsiteY159" fmla="*/ 506186 h 3450772"/>
              <a:gd name="connsiteX160" fmla="*/ 702128 w 2500127"/>
              <a:gd name="connsiteY160" fmla="*/ 353786 h 3450772"/>
              <a:gd name="connsiteX161" fmla="*/ 685800 w 2500127"/>
              <a:gd name="connsiteY161" fmla="*/ 277586 h 3450772"/>
              <a:gd name="connsiteX162" fmla="*/ 674914 w 2500127"/>
              <a:gd name="connsiteY162" fmla="*/ 244929 h 3450772"/>
              <a:gd name="connsiteX163" fmla="*/ 615042 w 2500127"/>
              <a:gd name="connsiteY163" fmla="*/ 179614 h 3450772"/>
              <a:gd name="connsiteX164" fmla="*/ 604157 w 2500127"/>
              <a:gd name="connsiteY164" fmla="*/ 136072 h 3450772"/>
              <a:gd name="connsiteX165" fmla="*/ 598714 w 2500127"/>
              <a:gd name="connsiteY165" fmla="*/ 130629 h 3450772"/>
              <a:gd name="connsiteX166" fmla="*/ 734785 w 2500127"/>
              <a:gd name="connsiteY166" fmla="*/ 125186 h 3450772"/>
              <a:gd name="connsiteX167" fmla="*/ 745671 w 2500127"/>
              <a:gd name="connsiteY167" fmla="*/ 125186 h 3450772"/>
              <a:gd name="connsiteX168" fmla="*/ 810985 w 2500127"/>
              <a:gd name="connsiteY168" fmla="*/ 59872 h 3450772"/>
              <a:gd name="connsiteX169" fmla="*/ 985157 w 2500127"/>
              <a:gd name="connsiteY169" fmla="*/ 43543 h 3450772"/>
              <a:gd name="connsiteX170" fmla="*/ 1017814 w 2500127"/>
              <a:gd name="connsiteY170" fmla="*/ 81643 h 3450772"/>
              <a:gd name="connsiteX171" fmla="*/ 1126671 w 2500127"/>
              <a:gd name="connsiteY171"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69136 w 2500127"/>
              <a:gd name="connsiteY44" fmla="*/ 1627414 h 3450772"/>
              <a:gd name="connsiteX45" fmla="*/ 2260641 w 2500127"/>
              <a:gd name="connsiteY45" fmla="*/ 1676400 h 3450772"/>
              <a:gd name="connsiteX46" fmla="*/ 2209800 w 2500127"/>
              <a:gd name="connsiteY46" fmla="*/ 1741714 h 3450772"/>
              <a:gd name="connsiteX47" fmla="*/ 2198914 w 2500127"/>
              <a:gd name="connsiteY47" fmla="*/ 1763486 h 3450772"/>
              <a:gd name="connsiteX48" fmla="*/ 2106385 w 2500127"/>
              <a:gd name="connsiteY48" fmla="*/ 1763486 h 3450772"/>
              <a:gd name="connsiteX49" fmla="*/ 2046514 w 2500127"/>
              <a:gd name="connsiteY49" fmla="*/ 1779814 h 3450772"/>
              <a:gd name="connsiteX50" fmla="*/ 1943100 w 2500127"/>
              <a:gd name="connsiteY50" fmla="*/ 1714500 h 3450772"/>
              <a:gd name="connsiteX51" fmla="*/ 1845128 w 2500127"/>
              <a:gd name="connsiteY51" fmla="*/ 1714500 h 3450772"/>
              <a:gd name="connsiteX52" fmla="*/ 1823357 w 2500127"/>
              <a:gd name="connsiteY52" fmla="*/ 1845129 h 3450772"/>
              <a:gd name="connsiteX53" fmla="*/ 1768928 w 2500127"/>
              <a:gd name="connsiteY53" fmla="*/ 1888672 h 3450772"/>
              <a:gd name="connsiteX54" fmla="*/ 1763485 w 2500127"/>
              <a:gd name="connsiteY54" fmla="*/ 1937657 h 3450772"/>
              <a:gd name="connsiteX55" fmla="*/ 1714500 w 2500127"/>
              <a:gd name="connsiteY55" fmla="*/ 1959429 h 3450772"/>
              <a:gd name="connsiteX56" fmla="*/ 1621971 w 2500127"/>
              <a:gd name="connsiteY56" fmla="*/ 2073729 h 3450772"/>
              <a:gd name="connsiteX57" fmla="*/ 1589314 w 2500127"/>
              <a:gd name="connsiteY57" fmla="*/ 2100943 h 3450772"/>
              <a:gd name="connsiteX58" fmla="*/ 1616528 w 2500127"/>
              <a:gd name="connsiteY58" fmla="*/ 2220686 h 3450772"/>
              <a:gd name="connsiteX59" fmla="*/ 1529442 w 2500127"/>
              <a:gd name="connsiteY59" fmla="*/ 2253343 h 3450772"/>
              <a:gd name="connsiteX60" fmla="*/ 1534885 w 2500127"/>
              <a:gd name="connsiteY60" fmla="*/ 2280557 h 3450772"/>
              <a:gd name="connsiteX61" fmla="*/ 1524000 w 2500127"/>
              <a:gd name="connsiteY61" fmla="*/ 2291443 h 3450772"/>
              <a:gd name="connsiteX62" fmla="*/ 1556657 w 2500127"/>
              <a:gd name="connsiteY62" fmla="*/ 2307772 h 3450772"/>
              <a:gd name="connsiteX63" fmla="*/ 1507671 w 2500127"/>
              <a:gd name="connsiteY63" fmla="*/ 2383972 h 3450772"/>
              <a:gd name="connsiteX64" fmla="*/ 1524000 w 2500127"/>
              <a:gd name="connsiteY64" fmla="*/ 2416629 h 3450772"/>
              <a:gd name="connsiteX65" fmla="*/ 1485900 w 2500127"/>
              <a:gd name="connsiteY65" fmla="*/ 2411186 h 3450772"/>
              <a:gd name="connsiteX66" fmla="*/ 1442357 w 2500127"/>
              <a:gd name="connsiteY66" fmla="*/ 2481943 h 3450772"/>
              <a:gd name="connsiteX67" fmla="*/ 1382485 w 2500127"/>
              <a:gd name="connsiteY67" fmla="*/ 2492829 h 3450772"/>
              <a:gd name="connsiteX68" fmla="*/ 1295400 w 2500127"/>
              <a:gd name="connsiteY68" fmla="*/ 2471057 h 3450772"/>
              <a:gd name="connsiteX69" fmla="*/ 1246414 w 2500127"/>
              <a:gd name="connsiteY69" fmla="*/ 2503714 h 3450772"/>
              <a:gd name="connsiteX70" fmla="*/ 1208314 w 2500127"/>
              <a:gd name="connsiteY70" fmla="*/ 2509157 h 3450772"/>
              <a:gd name="connsiteX71" fmla="*/ 1132114 w 2500127"/>
              <a:gd name="connsiteY71" fmla="*/ 2509157 h 3450772"/>
              <a:gd name="connsiteX72" fmla="*/ 1121228 w 2500127"/>
              <a:gd name="connsiteY72" fmla="*/ 2503714 h 3450772"/>
              <a:gd name="connsiteX73" fmla="*/ 1104900 w 2500127"/>
              <a:gd name="connsiteY73" fmla="*/ 2541814 h 3450772"/>
              <a:gd name="connsiteX74" fmla="*/ 1066800 w 2500127"/>
              <a:gd name="connsiteY74" fmla="*/ 2530929 h 3450772"/>
              <a:gd name="connsiteX75" fmla="*/ 1034142 w 2500127"/>
              <a:gd name="connsiteY75" fmla="*/ 2585357 h 3450772"/>
              <a:gd name="connsiteX76" fmla="*/ 1012371 w 2500127"/>
              <a:gd name="connsiteY76" fmla="*/ 2547257 h 3450772"/>
              <a:gd name="connsiteX77" fmla="*/ 892628 w 2500127"/>
              <a:gd name="connsiteY77" fmla="*/ 2585357 h 3450772"/>
              <a:gd name="connsiteX78" fmla="*/ 887185 w 2500127"/>
              <a:gd name="connsiteY78" fmla="*/ 2590800 h 3450772"/>
              <a:gd name="connsiteX79" fmla="*/ 898071 w 2500127"/>
              <a:gd name="connsiteY79" fmla="*/ 2661557 h 3450772"/>
              <a:gd name="connsiteX80" fmla="*/ 838200 w 2500127"/>
              <a:gd name="connsiteY80" fmla="*/ 2786743 h 3450772"/>
              <a:gd name="connsiteX81" fmla="*/ 854528 w 2500127"/>
              <a:gd name="connsiteY81" fmla="*/ 2830286 h 3450772"/>
              <a:gd name="connsiteX82" fmla="*/ 936171 w 2500127"/>
              <a:gd name="connsiteY82" fmla="*/ 2824843 h 3450772"/>
              <a:gd name="connsiteX83" fmla="*/ 979714 w 2500127"/>
              <a:gd name="connsiteY83" fmla="*/ 2906486 h 3450772"/>
              <a:gd name="connsiteX84" fmla="*/ 985157 w 2500127"/>
              <a:gd name="connsiteY84" fmla="*/ 2911929 h 3450772"/>
              <a:gd name="connsiteX85" fmla="*/ 985157 w 2500127"/>
              <a:gd name="connsiteY85" fmla="*/ 2911929 h 3450772"/>
              <a:gd name="connsiteX86" fmla="*/ 1001485 w 2500127"/>
              <a:gd name="connsiteY86" fmla="*/ 2960914 h 3450772"/>
              <a:gd name="connsiteX87" fmla="*/ 1006928 w 2500127"/>
              <a:gd name="connsiteY87" fmla="*/ 3048000 h 3450772"/>
              <a:gd name="connsiteX88" fmla="*/ 985157 w 2500127"/>
              <a:gd name="connsiteY88" fmla="*/ 3086100 h 3450772"/>
              <a:gd name="connsiteX89" fmla="*/ 881742 w 2500127"/>
              <a:gd name="connsiteY89" fmla="*/ 3216729 h 3450772"/>
              <a:gd name="connsiteX90" fmla="*/ 892628 w 2500127"/>
              <a:gd name="connsiteY90" fmla="*/ 3260272 h 3450772"/>
              <a:gd name="connsiteX91" fmla="*/ 849085 w 2500127"/>
              <a:gd name="connsiteY91" fmla="*/ 3276600 h 3450772"/>
              <a:gd name="connsiteX92" fmla="*/ 827314 w 2500127"/>
              <a:gd name="connsiteY92" fmla="*/ 3320143 h 3450772"/>
              <a:gd name="connsiteX93" fmla="*/ 810985 w 2500127"/>
              <a:gd name="connsiteY93" fmla="*/ 3369129 h 3450772"/>
              <a:gd name="connsiteX94" fmla="*/ 805542 w 2500127"/>
              <a:gd name="connsiteY94" fmla="*/ 3407229 h 3450772"/>
              <a:gd name="connsiteX95" fmla="*/ 805542 w 2500127"/>
              <a:gd name="connsiteY95" fmla="*/ 3423557 h 3450772"/>
              <a:gd name="connsiteX96" fmla="*/ 800100 w 2500127"/>
              <a:gd name="connsiteY96" fmla="*/ 3418114 h 3450772"/>
              <a:gd name="connsiteX97" fmla="*/ 778328 w 2500127"/>
              <a:gd name="connsiteY97" fmla="*/ 3418114 h 3450772"/>
              <a:gd name="connsiteX98" fmla="*/ 740228 w 2500127"/>
              <a:gd name="connsiteY98" fmla="*/ 3445329 h 3450772"/>
              <a:gd name="connsiteX99" fmla="*/ 702128 w 2500127"/>
              <a:gd name="connsiteY99" fmla="*/ 3434443 h 3450772"/>
              <a:gd name="connsiteX100" fmla="*/ 702128 w 2500127"/>
              <a:gd name="connsiteY100" fmla="*/ 3434443 h 3450772"/>
              <a:gd name="connsiteX101" fmla="*/ 664028 w 2500127"/>
              <a:gd name="connsiteY101" fmla="*/ 3450772 h 3450772"/>
              <a:gd name="connsiteX102" fmla="*/ 571500 w 2500127"/>
              <a:gd name="connsiteY102" fmla="*/ 3380014 h 3450772"/>
              <a:gd name="connsiteX103" fmla="*/ 533400 w 2500127"/>
              <a:gd name="connsiteY103" fmla="*/ 3309257 h 3450772"/>
              <a:gd name="connsiteX104" fmla="*/ 462642 w 2500127"/>
              <a:gd name="connsiteY104" fmla="*/ 3303814 h 3450772"/>
              <a:gd name="connsiteX105" fmla="*/ 277585 w 2500127"/>
              <a:gd name="connsiteY105" fmla="*/ 3243943 h 3450772"/>
              <a:gd name="connsiteX106" fmla="*/ 266700 w 2500127"/>
              <a:gd name="connsiteY106" fmla="*/ 3194957 h 3450772"/>
              <a:gd name="connsiteX107" fmla="*/ 228600 w 2500127"/>
              <a:gd name="connsiteY107" fmla="*/ 3194957 h 3450772"/>
              <a:gd name="connsiteX108" fmla="*/ 223157 w 2500127"/>
              <a:gd name="connsiteY108" fmla="*/ 3216729 h 3450772"/>
              <a:gd name="connsiteX109" fmla="*/ 223157 w 2500127"/>
              <a:gd name="connsiteY109" fmla="*/ 3243943 h 3450772"/>
              <a:gd name="connsiteX110" fmla="*/ 190500 w 2500127"/>
              <a:gd name="connsiteY110" fmla="*/ 3233057 h 3450772"/>
              <a:gd name="connsiteX111" fmla="*/ 163285 w 2500127"/>
              <a:gd name="connsiteY111" fmla="*/ 3211286 h 3450772"/>
              <a:gd name="connsiteX112" fmla="*/ 152400 w 2500127"/>
              <a:gd name="connsiteY112" fmla="*/ 3194957 h 3450772"/>
              <a:gd name="connsiteX113" fmla="*/ 174171 w 2500127"/>
              <a:gd name="connsiteY113" fmla="*/ 3151414 h 3450772"/>
              <a:gd name="connsiteX114" fmla="*/ 201385 w 2500127"/>
              <a:gd name="connsiteY114" fmla="*/ 3102429 h 3450772"/>
              <a:gd name="connsiteX115" fmla="*/ 185057 w 2500127"/>
              <a:gd name="connsiteY115" fmla="*/ 3064329 h 3450772"/>
              <a:gd name="connsiteX116" fmla="*/ 185057 w 2500127"/>
              <a:gd name="connsiteY116" fmla="*/ 3042557 h 3450772"/>
              <a:gd name="connsiteX117" fmla="*/ 125185 w 2500127"/>
              <a:gd name="connsiteY117" fmla="*/ 3042557 h 3450772"/>
              <a:gd name="connsiteX118" fmla="*/ 103414 w 2500127"/>
              <a:gd name="connsiteY118" fmla="*/ 3031672 h 3450772"/>
              <a:gd name="connsiteX119" fmla="*/ 70757 w 2500127"/>
              <a:gd name="connsiteY119" fmla="*/ 3058886 h 3450772"/>
              <a:gd name="connsiteX120" fmla="*/ 65314 w 2500127"/>
              <a:gd name="connsiteY120" fmla="*/ 3020786 h 3450772"/>
              <a:gd name="connsiteX121" fmla="*/ 0 w 2500127"/>
              <a:gd name="connsiteY121" fmla="*/ 2982686 h 3450772"/>
              <a:gd name="connsiteX122" fmla="*/ 54428 w 2500127"/>
              <a:gd name="connsiteY122" fmla="*/ 2933700 h 3450772"/>
              <a:gd name="connsiteX123" fmla="*/ 179614 w 2500127"/>
              <a:gd name="connsiteY123" fmla="*/ 2770414 h 3450772"/>
              <a:gd name="connsiteX124" fmla="*/ 326571 w 2500127"/>
              <a:gd name="connsiteY124" fmla="*/ 2122714 h 3450772"/>
              <a:gd name="connsiteX125" fmla="*/ 315685 w 2500127"/>
              <a:gd name="connsiteY125" fmla="*/ 2046514 h 3450772"/>
              <a:gd name="connsiteX126" fmla="*/ 359228 w 2500127"/>
              <a:gd name="connsiteY126" fmla="*/ 1964872 h 3450772"/>
              <a:gd name="connsiteX127" fmla="*/ 435428 w 2500127"/>
              <a:gd name="connsiteY127" fmla="*/ 1970314 h 3450772"/>
              <a:gd name="connsiteX128" fmla="*/ 440871 w 2500127"/>
              <a:gd name="connsiteY128" fmla="*/ 1937657 h 3450772"/>
              <a:gd name="connsiteX129" fmla="*/ 391885 w 2500127"/>
              <a:gd name="connsiteY129" fmla="*/ 1883229 h 3450772"/>
              <a:gd name="connsiteX130" fmla="*/ 386442 w 2500127"/>
              <a:gd name="connsiteY130" fmla="*/ 1872343 h 3450772"/>
              <a:gd name="connsiteX131" fmla="*/ 326571 w 2500127"/>
              <a:gd name="connsiteY131" fmla="*/ 1948543 h 3450772"/>
              <a:gd name="connsiteX132" fmla="*/ 408214 w 2500127"/>
              <a:gd name="connsiteY132" fmla="*/ 1338943 h 3450772"/>
              <a:gd name="connsiteX133" fmla="*/ 446314 w 2500127"/>
              <a:gd name="connsiteY133" fmla="*/ 1251857 h 3450772"/>
              <a:gd name="connsiteX134" fmla="*/ 462642 w 2500127"/>
              <a:gd name="connsiteY134" fmla="*/ 1300843 h 3450772"/>
              <a:gd name="connsiteX135" fmla="*/ 582385 w 2500127"/>
              <a:gd name="connsiteY135" fmla="*/ 1409700 h 3450772"/>
              <a:gd name="connsiteX136" fmla="*/ 620485 w 2500127"/>
              <a:gd name="connsiteY136" fmla="*/ 1513114 h 3450772"/>
              <a:gd name="connsiteX137" fmla="*/ 653142 w 2500127"/>
              <a:gd name="connsiteY137" fmla="*/ 1464129 h 3450772"/>
              <a:gd name="connsiteX138" fmla="*/ 625928 w 2500127"/>
              <a:gd name="connsiteY138" fmla="*/ 1344386 h 3450772"/>
              <a:gd name="connsiteX139" fmla="*/ 484414 w 2500127"/>
              <a:gd name="connsiteY139" fmla="*/ 1197429 h 3450772"/>
              <a:gd name="connsiteX140" fmla="*/ 435428 w 2500127"/>
              <a:gd name="connsiteY140" fmla="*/ 1164772 h 3450772"/>
              <a:gd name="connsiteX141" fmla="*/ 381000 w 2500127"/>
              <a:gd name="connsiteY141" fmla="*/ 1137557 h 3450772"/>
              <a:gd name="connsiteX142" fmla="*/ 370114 w 2500127"/>
              <a:gd name="connsiteY142" fmla="*/ 1083129 h 3450772"/>
              <a:gd name="connsiteX143" fmla="*/ 424542 w 2500127"/>
              <a:gd name="connsiteY143" fmla="*/ 1050472 h 3450772"/>
              <a:gd name="connsiteX144" fmla="*/ 468085 w 2500127"/>
              <a:gd name="connsiteY144" fmla="*/ 968829 h 3450772"/>
              <a:gd name="connsiteX145" fmla="*/ 446314 w 2500127"/>
              <a:gd name="connsiteY145" fmla="*/ 892629 h 3450772"/>
              <a:gd name="connsiteX146" fmla="*/ 446314 w 2500127"/>
              <a:gd name="connsiteY146" fmla="*/ 892629 h 3450772"/>
              <a:gd name="connsiteX147" fmla="*/ 478971 w 2500127"/>
              <a:gd name="connsiteY147" fmla="*/ 881743 h 3450772"/>
              <a:gd name="connsiteX148" fmla="*/ 424542 w 2500127"/>
              <a:gd name="connsiteY148" fmla="*/ 789214 h 3450772"/>
              <a:gd name="connsiteX149" fmla="*/ 386442 w 2500127"/>
              <a:gd name="connsiteY149" fmla="*/ 778329 h 3450772"/>
              <a:gd name="connsiteX150" fmla="*/ 429985 w 2500127"/>
              <a:gd name="connsiteY150" fmla="*/ 685800 h 3450772"/>
              <a:gd name="connsiteX151" fmla="*/ 451757 w 2500127"/>
              <a:gd name="connsiteY151" fmla="*/ 658586 h 3450772"/>
              <a:gd name="connsiteX152" fmla="*/ 560614 w 2500127"/>
              <a:gd name="connsiteY152" fmla="*/ 620486 h 3450772"/>
              <a:gd name="connsiteX153" fmla="*/ 560614 w 2500127"/>
              <a:gd name="connsiteY153" fmla="*/ 620486 h 3450772"/>
              <a:gd name="connsiteX154" fmla="*/ 636814 w 2500127"/>
              <a:gd name="connsiteY154" fmla="*/ 647700 h 3450772"/>
              <a:gd name="connsiteX155" fmla="*/ 658585 w 2500127"/>
              <a:gd name="connsiteY155" fmla="*/ 674914 h 3450772"/>
              <a:gd name="connsiteX156" fmla="*/ 772885 w 2500127"/>
              <a:gd name="connsiteY156" fmla="*/ 615043 h 3450772"/>
              <a:gd name="connsiteX157" fmla="*/ 745671 w 2500127"/>
              <a:gd name="connsiteY157" fmla="*/ 582386 h 3450772"/>
              <a:gd name="connsiteX158" fmla="*/ 740228 w 2500127"/>
              <a:gd name="connsiteY158" fmla="*/ 506186 h 3450772"/>
              <a:gd name="connsiteX159" fmla="*/ 702128 w 2500127"/>
              <a:gd name="connsiteY159" fmla="*/ 353786 h 3450772"/>
              <a:gd name="connsiteX160" fmla="*/ 685800 w 2500127"/>
              <a:gd name="connsiteY160" fmla="*/ 277586 h 3450772"/>
              <a:gd name="connsiteX161" fmla="*/ 674914 w 2500127"/>
              <a:gd name="connsiteY161" fmla="*/ 244929 h 3450772"/>
              <a:gd name="connsiteX162" fmla="*/ 615042 w 2500127"/>
              <a:gd name="connsiteY162" fmla="*/ 179614 h 3450772"/>
              <a:gd name="connsiteX163" fmla="*/ 604157 w 2500127"/>
              <a:gd name="connsiteY163" fmla="*/ 136072 h 3450772"/>
              <a:gd name="connsiteX164" fmla="*/ 598714 w 2500127"/>
              <a:gd name="connsiteY164" fmla="*/ 130629 h 3450772"/>
              <a:gd name="connsiteX165" fmla="*/ 734785 w 2500127"/>
              <a:gd name="connsiteY165" fmla="*/ 125186 h 3450772"/>
              <a:gd name="connsiteX166" fmla="*/ 745671 w 2500127"/>
              <a:gd name="connsiteY166" fmla="*/ 125186 h 3450772"/>
              <a:gd name="connsiteX167" fmla="*/ 810985 w 2500127"/>
              <a:gd name="connsiteY167" fmla="*/ 59872 h 3450772"/>
              <a:gd name="connsiteX168" fmla="*/ 985157 w 2500127"/>
              <a:gd name="connsiteY168" fmla="*/ 43543 h 3450772"/>
              <a:gd name="connsiteX169" fmla="*/ 1017814 w 2500127"/>
              <a:gd name="connsiteY169" fmla="*/ 81643 h 3450772"/>
              <a:gd name="connsiteX170" fmla="*/ 1126671 w 2500127"/>
              <a:gd name="connsiteY170"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69136 w 2500127"/>
              <a:gd name="connsiteY44" fmla="*/ 1627414 h 3450772"/>
              <a:gd name="connsiteX45" fmla="*/ 2260641 w 2500127"/>
              <a:gd name="connsiteY45" fmla="*/ 1676400 h 3450772"/>
              <a:gd name="connsiteX46" fmla="*/ 2209800 w 2500127"/>
              <a:gd name="connsiteY46" fmla="*/ 1741714 h 3450772"/>
              <a:gd name="connsiteX47" fmla="*/ 2198914 w 2500127"/>
              <a:gd name="connsiteY47" fmla="*/ 1763486 h 3450772"/>
              <a:gd name="connsiteX48" fmla="*/ 2106385 w 2500127"/>
              <a:gd name="connsiteY48" fmla="*/ 1763486 h 3450772"/>
              <a:gd name="connsiteX49" fmla="*/ 2046514 w 2500127"/>
              <a:gd name="connsiteY49" fmla="*/ 1779814 h 3450772"/>
              <a:gd name="connsiteX50" fmla="*/ 1943100 w 2500127"/>
              <a:gd name="connsiteY50" fmla="*/ 1714500 h 3450772"/>
              <a:gd name="connsiteX51" fmla="*/ 1845128 w 2500127"/>
              <a:gd name="connsiteY51" fmla="*/ 1714500 h 3450772"/>
              <a:gd name="connsiteX52" fmla="*/ 1823357 w 2500127"/>
              <a:gd name="connsiteY52" fmla="*/ 1845129 h 3450772"/>
              <a:gd name="connsiteX53" fmla="*/ 1768928 w 2500127"/>
              <a:gd name="connsiteY53" fmla="*/ 1888672 h 3450772"/>
              <a:gd name="connsiteX54" fmla="*/ 1763485 w 2500127"/>
              <a:gd name="connsiteY54" fmla="*/ 1937657 h 3450772"/>
              <a:gd name="connsiteX55" fmla="*/ 1714500 w 2500127"/>
              <a:gd name="connsiteY55" fmla="*/ 1959429 h 3450772"/>
              <a:gd name="connsiteX56" fmla="*/ 1621971 w 2500127"/>
              <a:gd name="connsiteY56" fmla="*/ 2073729 h 3450772"/>
              <a:gd name="connsiteX57" fmla="*/ 1589314 w 2500127"/>
              <a:gd name="connsiteY57" fmla="*/ 2100943 h 3450772"/>
              <a:gd name="connsiteX58" fmla="*/ 1637765 w 2500127"/>
              <a:gd name="connsiteY58" fmla="*/ 2216380 h 3450772"/>
              <a:gd name="connsiteX59" fmla="*/ 1529442 w 2500127"/>
              <a:gd name="connsiteY59" fmla="*/ 2253343 h 3450772"/>
              <a:gd name="connsiteX60" fmla="*/ 1534885 w 2500127"/>
              <a:gd name="connsiteY60" fmla="*/ 2280557 h 3450772"/>
              <a:gd name="connsiteX61" fmla="*/ 1524000 w 2500127"/>
              <a:gd name="connsiteY61" fmla="*/ 2291443 h 3450772"/>
              <a:gd name="connsiteX62" fmla="*/ 1556657 w 2500127"/>
              <a:gd name="connsiteY62" fmla="*/ 2307772 h 3450772"/>
              <a:gd name="connsiteX63" fmla="*/ 1507671 w 2500127"/>
              <a:gd name="connsiteY63" fmla="*/ 2383972 h 3450772"/>
              <a:gd name="connsiteX64" fmla="*/ 1524000 w 2500127"/>
              <a:gd name="connsiteY64" fmla="*/ 2416629 h 3450772"/>
              <a:gd name="connsiteX65" fmla="*/ 1485900 w 2500127"/>
              <a:gd name="connsiteY65" fmla="*/ 2411186 h 3450772"/>
              <a:gd name="connsiteX66" fmla="*/ 1442357 w 2500127"/>
              <a:gd name="connsiteY66" fmla="*/ 2481943 h 3450772"/>
              <a:gd name="connsiteX67" fmla="*/ 1382485 w 2500127"/>
              <a:gd name="connsiteY67" fmla="*/ 2492829 h 3450772"/>
              <a:gd name="connsiteX68" fmla="*/ 1295400 w 2500127"/>
              <a:gd name="connsiteY68" fmla="*/ 2471057 h 3450772"/>
              <a:gd name="connsiteX69" fmla="*/ 1246414 w 2500127"/>
              <a:gd name="connsiteY69" fmla="*/ 2503714 h 3450772"/>
              <a:gd name="connsiteX70" fmla="*/ 1208314 w 2500127"/>
              <a:gd name="connsiteY70" fmla="*/ 2509157 h 3450772"/>
              <a:gd name="connsiteX71" fmla="*/ 1132114 w 2500127"/>
              <a:gd name="connsiteY71" fmla="*/ 2509157 h 3450772"/>
              <a:gd name="connsiteX72" fmla="*/ 1121228 w 2500127"/>
              <a:gd name="connsiteY72" fmla="*/ 2503714 h 3450772"/>
              <a:gd name="connsiteX73" fmla="*/ 1104900 w 2500127"/>
              <a:gd name="connsiteY73" fmla="*/ 2541814 h 3450772"/>
              <a:gd name="connsiteX74" fmla="*/ 1066800 w 2500127"/>
              <a:gd name="connsiteY74" fmla="*/ 2530929 h 3450772"/>
              <a:gd name="connsiteX75" fmla="*/ 1034142 w 2500127"/>
              <a:gd name="connsiteY75" fmla="*/ 2585357 h 3450772"/>
              <a:gd name="connsiteX76" fmla="*/ 1012371 w 2500127"/>
              <a:gd name="connsiteY76" fmla="*/ 2547257 h 3450772"/>
              <a:gd name="connsiteX77" fmla="*/ 892628 w 2500127"/>
              <a:gd name="connsiteY77" fmla="*/ 2585357 h 3450772"/>
              <a:gd name="connsiteX78" fmla="*/ 887185 w 2500127"/>
              <a:gd name="connsiteY78" fmla="*/ 2590800 h 3450772"/>
              <a:gd name="connsiteX79" fmla="*/ 898071 w 2500127"/>
              <a:gd name="connsiteY79" fmla="*/ 2661557 h 3450772"/>
              <a:gd name="connsiteX80" fmla="*/ 838200 w 2500127"/>
              <a:gd name="connsiteY80" fmla="*/ 2786743 h 3450772"/>
              <a:gd name="connsiteX81" fmla="*/ 854528 w 2500127"/>
              <a:gd name="connsiteY81" fmla="*/ 2830286 h 3450772"/>
              <a:gd name="connsiteX82" fmla="*/ 936171 w 2500127"/>
              <a:gd name="connsiteY82" fmla="*/ 2824843 h 3450772"/>
              <a:gd name="connsiteX83" fmla="*/ 979714 w 2500127"/>
              <a:gd name="connsiteY83" fmla="*/ 2906486 h 3450772"/>
              <a:gd name="connsiteX84" fmla="*/ 985157 w 2500127"/>
              <a:gd name="connsiteY84" fmla="*/ 2911929 h 3450772"/>
              <a:gd name="connsiteX85" fmla="*/ 985157 w 2500127"/>
              <a:gd name="connsiteY85" fmla="*/ 2911929 h 3450772"/>
              <a:gd name="connsiteX86" fmla="*/ 1001485 w 2500127"/>
              <a:gd name="connsiteY86" fmla="*/ 2960914 h 3450772"/>
              <a:gd name="connsiteX87" fmla="*/ 1006928 w 2500127"/>
              <a:gd name="connsiteY87" fmla="*/ 3048000 h 3450772"/>
              <a:gd name="connsiteX88" fmla="*/ 985157 w 2500127"/>
              <a:gd name="connsiteY88" fmla="*/ 3086100 h 3450772"/>
              <a:gd name="connsiteX89" fmla="*/ 881742 w 2500127"/>
              <a:gd name="connsiteY89" fmla="*/ 3216729 h 3450772"/>
              <a:gd name="connsiteX90" fmla="*/ 892628 w 2500127"/>
              <a:gd name="connsiteY90" fmla="*/ 3260272 h 3450772"/>
              <a:gd name="connsiteX91" fmla="*/ 849085 w 2500127"/>
              <a:gd name="connsiteY91" fmla="*/ 3276600 h 3450772"/>
              <a:gd name="connsiteX92" fmla="*/ 827314 w 2500127"/>
              <a:gd name="connsiteY92" fmla="*/ 3320143 h 3450772"/>
              <a:gd name="connsiteX93" fmla="*/ 810985 w 2500127"/>
              <a:gd name="connsiteY93" fmla="*/ 3369129 h 3450772"/>
              <a:gd name="connsiteX94" fmla="*/ 805542 w 2500127"/>
              <a:gd name="connsiteY94" fmla="*/ 3407229 h 3450772"/>
              <a:gd name="connsiteX95" fmla="*/ 805542 w 2500127"/>
              <a:gd name="connsiteY95" fmla="*/ 3423557 h 3450772"/>
              <a:gd name="connsiteX96" fmla="*/ 800100 w 2500127"/>
              <a:gd name="connsiteY96" fmla="*/ 3418114 h 3450772"/>
              <a:gd name="connsiteX97" fmla="*/ 778328 w 2500127"/>
              <a:gd name="connsiteY97" fmla="*/ 3418114 h 3450772"/>
              <a:gd name="connsiteX98" fmla="*/ 740228 w 2500127"/>
              <a:gd name="connsiteY98" fmla="*/ 3445329 h 3450772"/>
              <a:gd name="connsiteX99" fmla="*/ 702128 w 2500127"/>
              <a:gd name="connsiteY99" fmla="*/ 3434443 h 3450772"/>
              <a:gd name="connsiteX100" fmla="*/ 702128 w 2500127"/>
              <a:gd name="connsiteY100" fmla="*/ 3434443 h 3450772"/>
              <a:gd name="connsiteX101" fmla="*/ 664028 w 2500127"/>
              <a:gd name="connsiteY101" fmla="*/ 3450772 h 3450772"/>
              <a:gd name="connsiteX102" fmla="*/ 571500 w 2500127"/>
              <a:gd name="connsiteY102" fmla="*/ 3380014 h 3450772"/>
              <a:gd name="connsiteX103" fmla="*/ 533400 w 2500127"/>
              <a:gd name="connsiteY103" fmla="*/ 3309257 h 3450772"/>
              <a:gd name="connsiteX104" fmla="*/ 462642 w 2500127"/>
              <a:gd name="connsiteY104" fmla="*/ 3303814 h 3450772"/>
              <a:gd name="connsiteX105" fmla="*/ 277585 w 2500127"/>
              <a:gd name="connsiteY105" fmla="*/ 3243943 h 3450772"/>
              <a:gd name="connsiteX106" fmla="*/ 266700 w 2500127"/>
              <a:gd name="connsiteY106" fmla="*/ 3194957 h 3450772"/>
              <a:gd name="connsiteX107" fmla="*/ 228600 w 2500127"/>
              <a:gd name="connsiteY107" fmla="*/ 3194957 h 3450772"/>
              <a:gd name="connsiteX108" fmla="*/ 223157 w 2500127"/>
              <a:gd name="connsiteY108" fmla="*/ 3216729 h 3450772"/>
              <a:gd name="connsiteX109" fmla="*/ 223157 w 2500127"/>
              <a:gd name="connsiteY109" fmla="*/ 3243943 h 3450772"/>
              <a:gd name="connsiteX110" fmla="*/ 190500 w 2500127"/>
              <a:gd name="connsiteY110" fmla="*/ 3233057 h 3450772"/>
              <a:gd name="connsiteX111" fmla="*/ 163285 w 2500127"/>
              <a:gd name="connsiteY111" fmla="*/ 3211286 h 3450772"/>
              <a:gd name="connsiteX112" fmla="*/ 152400 w 2500127"/>
              <a:gd name="connsiteY112" fmla="*/ 3194957 h 3450772"/>
              <a:gd name="connsiteX113" fmla="*/ 174171 w 2500127"/>
              <a:gd name="connsiteY113" fmla="*/ 3151414 h 3450772"/>
              <a:gd name="connsiteX114" fmla="*/ 201385 w 2500127"/>
              <a:gd name="connsiteY114" fmla="*/ 3102429 h 3450772"/>
              <a:gd name="connsiteX115" fmla="*/ 185057 w 2500127"/>
              <a:gd name="connsiteY115" fmla="*/ 3064329 h 3450772"/>
              <a:gd name="connsiteX116" fmla="*/ 185057 w 2500127"/>
              <a:gd name="connsiteY116" fmla="*/ 3042557 h 3450772"/>
              <a:gd name="connsiteX117" fmla="*/ 125185 w 2500127"/>
              <a:gd name="connsiteY117" fmla="*/ 3042557 h 3450772"/>
              <a:gd name="connsiteX118" fmla="*/ 103414 w 2500127"/>
              <a:gd name="connsiteY118" fmla="*/ 3031672 h 3450772"/>
              <a:gd name="connsiteX119" fmla="*/ 70757 w 2500127"/>
              <a:gd name="connsiteY119" fmla="*/ 3058886 h 3450772"/>
              <a:gd name="connsiteX120" fmla="*/ 65314 w 2500127"/>
              <a:gd name="connsiteY120" fmla="*/ 3020786 h 3450772"/>
              <a:gd name="connsiteX121" fmla="*/ 0 w 2500127"/>
              <a:gd name="connsiteY121" fmla="*/ 2982686 h 3450772"/>
              <a:gd name="connsiteX122" fmla="*/ 54428 w 2500127"/>
              <a:gd name="connsiteY122" fmla="*/ 2933700 h 3450772"/>
              <a:gd name="connsiteX123" fmla="*/ 179614 w 2500127"/>
              <a:gd name="connsiteY123" fmla="*/ 2770414 h 3450772"/>
              <a:gd name="connsiteX124" fmla="*/ 326571 w 2500127"/>
              <a:gd name="connsiteY124" fmla="*/ 2122714 h 3450772"/>
              <a:gd name="connsiteX125" fmla="*/ 315685 w 2500127"/>
              <a:gd name="connsiteY125" fmla="*/ 2046514 h 3450772"/>
              <a:gd name="connsiteX126" fmla="*/ 359228 w 2500127"/>
              <a:gd name="connsiteY126" fmla="*/ 1964872 h 3450772"/>
              <a:gd name="connsiteX127" fmla="*/ 435428 w 2500127"/>
              <a:gd name="connsiteY127" fmla="*/ 1970314 h 3450772"/>
              <a:gd name="connsiteX128" fmla="*/ 440871 w 2500127"/>
              <a:gd name="connsiteY128" fmla="*/ 1937657 h 3450772"/>
              <a:gd name="connsiteX129" fmla="*/ 391885 w 2500127"/>
              <a:gd name="connsiteY129" fmla="*/ 1883229 h 3450772"/>
              <a:gd name="connsiteX130" fmla="*/ 386442 w 2500127"/>
              <a:gd name="connsiteY130" fmla="*/ 1872343 h 3450772"/>
              <a:gd name="connsiteX131" fmla="*/ 326571 w 2500127"/>
              <a:gd name="connsiteY131" fmla="*/ 1948543 h 3450772"/>
              <a:gd name="connsiteX132" fmla="*/ 408214 w 2500127"/>
              <a:gd name="connsiteY132" fmla="*/ 1338943 h 3450772"/>
              <a:gd name="connsiteX133" fmla="*/ 446314 w 2500127"/>
              <a:gd name="connsiteY133" fmla="*/ 1251857 h 3450772"/>
              <a:gd name="connsiteX134" fmla="*/ 462642 w 2500127"/>
              <a:gd name="connsiteY134" fmla="*/ 1300843 h 3450772"/>
              <a:gd name="connsiteX135" fmla="*/ 582385 w 2500127"/>
              <a:gd name="connsiteY135" fmla="*/ 1409700 h 3450772"/>
              <a:gd name="connsiteX136" fmla="*/ 620485 w 2500127"/>
              <a:gd name="connsiteY136" fmla="*/ 1513114 h 3450772"/>
              <a:gd name="connsiteX137" fmla="*/ 653142 w 2500127"/>
              <a:gd name="connsiteY137" fmla="*/ 1464129 h 3450772"/>
              <a:gd name="connsiteX138" fmla="*/ 625928 w 2500127"/>
              <a:gd name="connsiteY138" fmla="*/ 1344386 h 3450772"/>
              <a:gd name="connsiteX139" fmla="*/ 484414 w 2500127"/>
              <a:gd name="connsiteY139" fmla="*/ 1197429 h 3450772"/>
              <a:gd name="connsiteX140" fmla="*/ 435428 w 2500127"/>
              <a:gd name="connsiteY140" fmla="*/ 1164772 h 3450772"/>
              <a:gd name="connsiteX141" fmla="*/ 381000 w 2500127"/>
              <a:gd name="connsiteY141" fmla="*/ 1137557 h 3450772"/>
              <a:gd name="connsiteX142" fmla="*/ 370114 w 2500127"/>
              <a:gd name="connsiteY142" fmla="*/ 1083129 h 3450772"/>
              <a:gd name="connsiteX143" fmla="*/ 424542 w 2500127"/>
              <a:gd name="connsiteY143" fmla="*/ 1050472 h 3450772"/>
              <a:gd name="connsiteX144" fmla="*/ 468085 w 2500127"/>
              <a:gd name="connsiteY144" fmla="*/ 968829 h 3450772"/>
              <a:gd name="connsiteX145" fmla="*/ 446314 w 2500127"/>
              <a:gd name="connsiteY145" fmla="*/ 892629 h 3450772"/>
              <a:gd name="connsiteX146" fmla="*/ 446314 w 2500127"/>
              <a:gd name="connsiteY146" fmla="*/ 892629 h 3450772"/>
              <a:gd name="connsiteX147" fmla="*/ 478971 w 2500127"/>
              <a:gd name="connsiteY147" fmla="*/ 881743 h 3450772"/>
              <a:gd name="connsiteX148" fmla="*/ 424542 w 2500127"/>
              <a:gd name="connsiteY148" fmla="*/ 789214 h 3450772"/>
              <a:gd name="connsiteX149" fmla="*/ 386442 w 2500127"/>
              <a:gd name="connsiteY149" fmla="*/ 778329 h 3450772"/>
              <a:gd name="connsiteX150" fmla="*/ 429985 w 2500127"/>
              <a:gd name="connsiteY150" fmla="*/ 685800 h 3450772"/>
              <a:gd name="connsiteX151" fmla="*/ 451757 w 2500127"/>
              <a:gd name="connsiteY151" fmla="*/ 658586 h 3450772"/>
              <a:gd name="connsiteX152" fmla="*/ 560614 w 2500127"/>
              <a:gd name="connsiteY152" fmla="*/ 620486 h 3450772"/>
              <a:gd name="connsiteX153" fmla="*/ 560614 w 2500127"/>
              <a:gd name="connsiteY153" fmla="*/ 620486 h 3450772"/>
              <a:gd name="connsiteX154" fmla="*/ 636814 w 2500127"/>
              <a:gd name="connsiteY154" fmla="*/ 647700 h 3450772"/>
              <a:gd name="connsiteX155" fmla="*/ 658585 w 2500127"/>
              <a:gd name="connsiteY155" fmla="*/ 674914 h 3450772"/>
              <a:gd name="connsiteX156" fmla="*/ 772885 w 2500127"/>
              <a:gd name="connsiteY156" fmla="*/ 615043 h 3450772"/>
              <a:gd name="connsiteX157" fmla="*/ 745671 w 2500127"/>
              <a:gd name="connsiteY157" fmla="*/ 582386 h 3450772"/>
              <a:gd name="connsiteX158" fmla="*/ 740228 w 2500127"/>
              <a:gd name="connsiteY158" fmla="*/ 506186 h 3450772"/>
              <a:gd name="connsiteX159" fmla="*/ 702128 w 2500127"/>
              <a:gd name="connsiteY159" fmla="*/ 353786 h 3450772"/>
              <a:gd name="connsiteX160" fmla="*/ 685800 w 2500127"/>
              <a:gd name="connsiteY160" fmla="*/ 277586 h 3450772"/>
              <a:gd name="connsiteX161" fmla="*/ 674914 w 2500127"/>
              <a:gd name="connsiteY161" fmla="*/ 244929 h 3450772"/>
              <a:gd name="connsiteX162" fmla="*/ 615042 w 2500127"/>
              <a:gd name="connsiteY162" fmla="*/ 179614 h 3450772"/>
              <a:gd name="connsiteX163" fmla="*/ 604157 w 2500127"/>
              <a:gd name="connsiteY163" fmla="*/ 136072 h 3450772"/>
              <a:gd name="connsiteX164" fmla="*/ 598714 w 2500127"/>
              <a:gd name="connsiteY164" fmla="*/ 130629 h 3450772"/>
              <a:gd name="connsiteX165" fmla="*/ 734785 w 2500127"/>
              <a:gd name="connsiteY165" fmla="*/ 125186 h 3450772"/>
              <a:gd name="connsiteX166" fmla="*/ 745671 w 2500127"/>
              <a:gd name="connsiteY166" fmla="*/ 125186 h 3450772"/>
              <a:gd name="connsiteX167" fmla="*/ 810985 w 2500127"/>
              <a:gd name="connsiteY167" fmla="*/ 59872 h 3450772"/>
              <a:gd name="connsiteX168" fmla="*/ 985157 w 2500127"/>
              <a:gd name="connsiteY168" fmla="*/ 43543 h 3450772"/>
              <a:gd name="connsiteX169" fmla="*/ 1017814 w 2500127"/>
              <a:gd name="connsiteY169" fmla="*/ 81643 h 3450772"/>
              <a:gd name="connsiteX170" fmla="*/ 1126671 w 2500127"/>
              <a:gd name="connsiteY170"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69136 w 2500127"/>
              <a:gd name="connsiteY44" fmla="*/ 1627414 h 3450772"/>
              <a:gd name="connsiteX45" fmla="*/ 2260641 w 2500127"/>
              <a:gd name="connsiteY45" fmla="*/ 1676400 h 3450772"/>
              <a:gd name="connsiteX46" fmla="*/ 2209800 w 2500127"/>
              <a:gd name="connsiteY46" fmla="*/ 1741714 h 3450772"/>
              <a:gd name="connsiteX47" fmla="*/ 2198914 w 2500127"/>
              <a:gd name="connsiteY47" fmla="*/ 1763486 h 3450772"/>
              <a:gd name="connsiteX48" fmla="*/ 2106385 w 2500127"/>
              <a:gd name="connsiteY48" fmla="*/ 1763486 h 3450772"/>
              <a:gd name="connsiteX49" fmla="*/ 2046514 w 2500127"/>
              <a:gd name="connsiteY49" fmla="*/ 1779814 h 3450772"/>
              <a:gd name="connsiteX50" fmla="*/ 1943100 w 2500127"/>
              <a:gd name="connsiteY50" fmla="*/ 1714500 h 3450772"/>
              <a:gd name="connsiteX51" fmla="*/ 1845128 w 2500127"/>
              <a:gd name="connsiteY51" fmla="*/ 1714500 h 3450772"/>
              <a:gd name="connsiteX52" fmla="*/ 1823357 w 2500127"/>
              <a:gd name="connsiteY52" fmla="*/ 1845129 h 3450772"/>
              <a:gd name="connsiteX53" fmla="*/ 1768928 w 2500127"/>
              <a:gd name="connsiteY53" fmla="*/ 1888672 h 3450772"/>
              <a:gd name="connsiteX54" fmla="*/ 1776227 w 2500127"/>
              <a:gd name="connsiteY54" fmla="*/ 1937657 h 3450772"/>
              <a:gd name="connsiteX55" fmla="*/ 1714500 w 2500127"/>
              <a:gd name="connsiteY55" fmla="*/ 1959429 h 3450772"/>
              <a:gd name="connsiteX56" fmla="*/ 1621971 w 2500127"/>
              <a:gd name="connsiteY56" fmla="*/ 2073729 h 3450772"/>
              <a:gd name="connsiteX57" fmla="*/ 1589314 w 2500127"/>
              <a:gd name="connsiteY57" fmla="*/ 2100943 h 3450772"/>
              <a:gd name="connsiteX58" fmla="*/ 1637765 w 2500127"/>
              <a:gd name="connsiteY58" fmla="*/ 2216380 h 3450772"/>
              <a:gd name="connsiteX59" fmla="*/ 1529442 w 2500127"/>
              <a:gd name="connsiteY59" fmla="*/ 2253343 h 3450772"/>
              <a:gd name="connsiteX60" fmla="*/ 1534885 w 2500127"/>
              <a:gd name="connsiteY60" fmla="*/ 2280557 h 3450772"/>
              <a:gd name="connsiteX61" fmla="*/ 1524000 w 2500127"/>
              <a:gd name="connsiteY61" fmla="*/ 2291443 h 3450772"/>
              <a:gd name="connsiteX62" fmla="*/ 1556657 w 2500127"/>
              <a:gd name="connsiteY62" fmla="*/ 2307772 h 3450772"/>
              <a:gd name="connsiteX63" fmla="*/ 1507671 w 2500127"/>
              <a:gd name="connsiteY63" fmla="*/ 2383972 h 3450772"/>
              <a:gd name="connsiteX64" fmla="*/ 1524000 w 2500127"/>
              <a:gd name="connsiteY64" fmla="*/ 2416629 h 3450772"/>
              <a:gd name="connsiteX65" fmla="*/ 1485900 w 2500127"/>
              <a:gd name="connsiteY65" fmla="*/ 2411186 h 3450772"/>
              <a:gd name="connsiteX66" fmla="*/ 1442357 w 2500127"/>
              <a:gd name="connsiteY66" fmla="*/ 2481943 h 3450772"/>
              <a:gd name="connsiteX67" fmla="*/ 1382485 w 2500127"/>
              <a:gd name="connsiteY67" fmla="*/ 2492829 h 3450772"/>
              <a:gd name="connsiteX68" fmla="*/ 1295400 w 2500127"/>
              <a:gd name="connsiteY68" fmla="*/ 2471057 h 3450772"/>
              <a:gd name="connsiteX69" fmla="*/ 1246414 w 2500127"/>
              <a:gd name="connsiteY69" fmla="*/ 2503714 h 3450772"/>
              <a:gd name="connsiteX70" fmla="*/ 1208314 w 2500127"/>
              <a:gd name="connsiteY70" fmla="*/ 2509157 h 3450772"/>
              <a:gd name="connsiteX71" fmla="*/ 1132114 w 2500127"/>
              <a:gd name="connsiteY71" fmla="*/ 2509157 h 3450772"/>
              <a:gd name="connsiteX72" fmla="*/ 1121228 w 2500127"/>
              <a:gd name="connsiteY72" fmla="*/ 2503714 h 3450772"/>
              <a:gd name="connsiteX73" fmla="*/ 1104900 w 2500127"/>
              <a:gd name="connsiteY73" fmla="*/ 2541814 h 3450772"/>
              <a:gd name="connsiteX74" fmla="*/ 1066800 w 2500127"/>
              <a:gd name="connsiteY74" fmla="*/ 2530929 h 3450772"/>
              <a:gd name="connsiteX75" fmla="*/ 1034142 w 2500127"/>
              <a:gd name="connsiteY75" fmla="*/ 2585357 h 3450772"/>
              <a:gd name="connsiteX76" fmla="*/ 1012371 w 2500127"/>
              <a:gd name="connsiteY76" fmla="*/ 2547257 h 3450772"/>
              <a:gd name="connsiteX77" fmla="*/ 892628 w 2500127"/>
              <a:gd name="connsiteY77" fmla="*/ 2585357 h 3450772"/>
              <a:gd name="connsiteX78" fmla="*/ 887185 w 2500127"/>
              <a:gd name="connsiteY78" fmla="*/ 2590800 h 3450772"/>
              <a:gd name="connsiteX79" fmla="*/ 898071 w 2500127"/>
              <a:gd name="connsiteY79" fmla="*/ 2661557 h 3450772"/>
              <a:gd name="connsiteX80" fmla="*/ 838200 w 2500127"/>
              <a:gd name="connsiteY80" fmla="*/ 2786743 h 3450772"/>
              <a:gd name="connsiteX81" fmla="*/ 854528 w 2500127"/>
              <a:gd name="connsiteY81" fmla="*/ 2830286 h 3450772"/>
              <a:gd name="connsiteX82" fmla="*/ 936171 w 2500127"/>
              <a:gd name="connsiteY82" fmla="*/ 2824843 h 3450772"/>
              <a:gd name="connsiteX83" fmla="*/ 979714 w 2500127"/>
              <a:gd name="connsiteY83" fmla="*/ 2906486 h 3450772"/>
              <a:gd name="connsiteX84" fmla="*/ 985157 w 2500127"/>
              <a:gd name="connsiteY84" fmla="*/ 2911929 h 3450772"/>
              <a:gd name="connsiteX85" fmla="*/ 985157 w 2500127"/>
              <a:gd name="connsiteY85" fmla="*/ 2911929 h 3450772"/>
              <a:gd name="connsiteX86" fmla="*/ 1001485 w 2500127"/>
              <a:gd name="connsiteY86" fmla="*/ 2960914 h 3450772"/>
              <a:gd name="connsiteX87" fmla="*/ 1006928 w 2500127"/>
              <a:gd name="connsiteY87" fmla="*/ 3048000 h 3450772"/>
              <a:gd name="connsiteX88" fmla="*/ 985157 w 2500127"/>
              <a:gd name="connsiteY88" fmla="*/ 3086100 h 3450772"/>
              <a:gd name="connsiteX89" fmla="*/ 881742 w 2500127"/>
              <a:gd name="connsiteY89" fmla="*/ 3216729 h 3450772"/>
              <a:gd name="connsiteX90" fmla="*/ 892628 w 2500127"/>
              <a:gd name="connsiteY90" fmla="*/ 3260272 h 3450772"/>
              <a:gd name="connsiteX91" fmla="*/ 849085 w 2500127"/>
              <a:gd name="connsiteY91" fmla="*/ 3276600 h 3450772"/>
              <a:gd name="connsiteX92" fmla="*/ 827314 w 2500127"/>
              <a:gd name="connsiteY92" fmla="*/ 3320143 h 3450772"/>
              <a:gd name="connsiteX93" fmla="*/ 810985 w 2500127"/>
              <a:gd name="connsiteY93" fmla="*/ 3369129 h 3450772"/>
              <a:gd name="connsiteX94" fmla="*/ 805542 w 2500127"/>
              <a:gd name="connsiteY94" fmla="*/ 3407229 h 3450772"/>
              <a:gd name="connsiteX95" fmla="*/ 805542 w 2500127"/>
              <a:gd name="connsiteY95" fmla="*/ 3423557 h 3450772"/>
              <a:gd name="connsiteX96" fmla="*/ 800100 w 2500127"/>
              <a:gd name="connsiteY96" fmla="*/ 3418114 h 3450772"/>
              <a:gd name="connsiteX97" fmla="*/ 778328 w 2500127"/>
              <a:gd name="connsiteY97" fmla="*/ 3418114 h 3450772"/>
              <a:gd name="connsiteX98" fmla="*/ 740228 w 2500127"/>
              <a:gd name="connsiteY98" fmla="*/ 3445329 h 3450772"/>
              <a:gd name="connsiteX99" fmla="*/ 702128 w 2500127"/>
              <a:gd name="connsiteY99" fmla="*/ 3434443 h 3450772"/>
              <a:gd name="connsiteX100" fmla="*/ 702128 w 2500127"/>
              <a:gd name="connsiteY100" fmla="*/ 3434443 h 3450772"/>
              <a:gd name="connsiteX101" fmla="*/ 664028 w 2500127"/>
              <a:gd name="connsiteY101" fmla="*/ 3450772 h 3450772"/>
              <a:gd name="connsiteX102" fmla="*/ 571500 w 2500127"/>
              <a:gd name="connsiteY102" fmla="*/ 3380014 h 3450772"/>
              <a:gd name="connsiteX103" fmla="*/ 533400 w 2500127"/>
              <a:gd name="connsiteY103" fmla="*/ 3309257 h 3450772"/>
              <a:gd name="connsiteX104" fmla="*/ 462642 w 2500127"/>
              <a:gd name="connsiteY104" fmla="*/ 3303814 h 3450772"/>
              <a:gd name="connsiteX105" fmla="*/ 277585 w 2500127"/>
              <a:gd name="connsiteY105" fmla="*/ 3243943 h 3450772"/>
              <a:gd name="connsiteX106" fmla="*/ 266700 w 2500127"/>
              <a:gd name="connsiteY106" fmla="*/ 3194957 h 3450772"/>
              <a:gd name="connsiteX107" fmla="*/ 228600 w 2500127"/>
              <a:gd name="connsiteY107" fmla="*/ 3194957 h 3450772"/>
              <a:gd name="connsiteX108" fmla="*/ 223157 w 2500127"/>
              <a:gd name="connsiteY108" fmla="*/ 3216729 h 3450772"/>
              <a:gd name="connsiteX109" fmla="*/ 223157 w 2500127"/>
              <a:gd name="connsiteY109" fmla="*/ 3243943 h 3450772"/>
              <a:gd name="connsiteX110" fmla="*/ 190500 w 2500127"/>
              <a:gd name="connsiteY110" fmla="*/ 3233057 h 3450772"/>
              <a:gd name="connsiteX111" fmla="*/ 163285 w 2500127"/>
              <a:gd name="connsiteY111" fmla="*/ 3211286 h 3450772"/>
              <a:gd name="connsiteX112" fmla="*/ 152400 w 2500127"/>
              <a:gd name="connsiteY112" fmla="*/ 3194957 h 3450772"/>
              <a:gd name="connsiteX113" fmla="*/ 174171 w 2500127"/>
              <a:gd name="connsiteY113" fmla="*/ 3151414 h 3450772"/>
              <a:gd name="connsiteX114" fmla="*/ 201385 w 2500127"/>
              <a:gd name="connsiteY114" fmla="*/ 3102429 h 3450772"/>
              <a:gd name="connsiteX115" fmla="*/ 185057 w 2500127"/>
              <a:gd name="connsiteY115" fmla="*/ 3064329 h 3450772"/>
              <a:gd name="connsiteX116" fmla="*/ 185057 w 2500127"/>
              <a:gd name="connsiteY116" fmla="*/ 3042557 h 3450772"/>
              <a:gd name="connsiteX117" fmla="*/ 125185 w 2500127"/>
              <a:gd name="connsiteY117" fmla="*/ 3042557 h 3450772"/>
              <a:gd name="connsiteX118" fmla="*/ 103414 w 2500127"/>
              <a:gd name="connsiteY118" fmla="*/ 3031672 h 3450772"/>
              <a:gd name="connsiteX119" fmla="*/ 70757 w 2500127"/>
              <a:gd name="connsiteY119" fmla="*/ 3058886 h 3450772"/>
              <a:gd name="connsiteX120" fmla="*/ 65314 w 2500127"/>
              <a:gd name="connsiteY120" fmla="*/ 3020786 h 3450772"/>
              <a:gd name="connsiteX121" fmla="*/ 0 w 2500127"/>
              <a:gd name="connsiteY121" fmla="*/ 2982686 h 3450772"/>
              <a:gd name="connsiteX122" fmla="*/ 54428 w 2500127"/>
              <a:gd name="connsiteY122" fmla="*/ 2933700 h 3450772"/>
              <a:gd name="connsiteX123" fmla="*/ 179614 w 2500127"/>
              <a:gd name="connsiteY123" fmla="*/ 2770414 h 3450772"/>
              <a:gd name="connsiteX124" fmla="*/ 326571 w 2500127"/>
              <a:gd name="connsiteY124" fmla="*/ 2122714 h 3450772"/>
              <a:gd name="connsiteX125" fmla="*/ 315685 w 2500127"/>
              <a:gd name="connsiteY125" fmla="*/ 2046514 h 3450772"/>
              <a:gd name="connsiteX126" fmla="*/ 359228 w 2500127"/>
              <a:gd name="connsiteY126" fmla="*/ 1964872 h 3450772"/>
              <a:gd name="connsiteX127" fmla="*/ 435428 w 2500127"/>
              <a:gd name="connsiteY127" fmla="*/ 1970314 h 3450772"/>
              <a:gd name="connsiteX128" fmla="*/ 440871 w 2500127"/>
              <a:gd name="connsiteY128" fmla="*/ 1937657 h 3450772"/>
              <a:gd name="connsiteX129" fmla="*/ 391885 w 2500127"/>
              <a:gd name="connsiteY129" fmla="*/ 1883229 h 3450772"/>
              <a:gd name="connsiteX130" fmla="*/ 386442 w 2500127"/>
              <a:gd name="connsiteY130" fmla="*/ 1872343 h 3450772"/>
              <a:gd name="connsiteX131" fmla="*/ 326571 w 2500127"/>
              <a:gd name="connsiteY131" fmla="*/ 1948543 h 3450772"/>
              <a:gd name="connsiteX132" fmla="*/ 408214 w 2500127"/>
              <a:gd name="connsiteY132" fmla="*/ 1338943 h 3450772"/>
              <a:gd name="connsiteX133" fmla="*/ 446314 w 2500127"/>
              <a:gd name="connsiteY133" fmla="*/ 1251857 h 3450772"/>
              <a:gd name="connsiteX134" fmla="*/ 462642 w 2500127"/>
              <a:gd name="connsiteY134" fmla="*/ 1300843 h 3450772"/>
              <a:gd name="connsiteX135" fmla="*/ 582385 w 2500127"/>
              <a:gd name="connsiteY135" fmla="*/ 1409700 h 3450772"/>
              <a:gd name="connsiteX136" fmla="*/ 620485 w 2500127"/>
              <a:gd name="connsiteY136" fmla="*/ 1513114 h 3450772"/>
              <a:gd name="connsiteX137" fmla="*/ 653142 w 2500127"/>
              <a:gd name="connsiteY137" fmla="*/ 1464129 h 3450772"/>
              <a:gd name="connsiteX138" fmla="*/ 625928 w 2500127"/>
              <a:gd name="connsiteY138" fmla="*/ 1344386 h 3450772"/>
              <a:gd name="connsiteX139" fmla="*/ 484414 w 2500127"/>
              <a:gd name="connsiteY139" fmla="*/ 1197429 h 3450772"/>
              <a:gd name="connsiteX140" fmla="*/ 435428 w 2500127"/>
              <a:gd name="connsiteY140" fmla="*/ 1164772 h 3450772"/>
              <a:gd name="connsiteX141" fmla="*/ 381000 w 2500127"/>
              <a:gd name="connsiteY141" fmla="*/ 1137557 h 3450772"/>
              <a:gd name="connsiteX142" fmla="*/ 370114 w 2500127"/>
              <a:gd name="connsiteY142" fmla="*/ 1083129 h 3450772"/>
              <a:gd name="connsiteX143" fmla="*/ 424542 w 2500127"/>
              <a:gd name="connsiteY143" fmla="*/ 1050472 h 3450772"/>
              <a:gd name="connsiteX144" fmla="*/ 468085 w 2500127"/>
              <a:gd name="connsiteY144" fmla="*/ 968829 h 3450772"/>
              <a:gd name="connsiteX145" fmla="*/ 446314 w 2500127"/>
              <a:gd name="connsiteY145" fmla="*/ 892629 h 3450772"/>
              <a:gd name="connsiteX146" fmla="*/ 446314 w 2500127"/>
              <a:gd name="connsiteY146" fmla="*/ 892629 h 3450772"/>
              <a:gd name="connsiteX147" fmla="*/ 478971 w 2500127"/>
              <a:gd name="connsiteY147" fmla="*/ 881743 h 3450772"/>
              <a:gd name="connsiteX148" fmla="*/ 424542 w 2500127"/>
              <a:gd name="connsiteY148" fmla="*/ 789214 h 3450772"/>
              <a:gd name="connsiteX149" fmla="*/ 386442 w 2500127"/>
              <a:gd name="connsiteY149" fmla="*/ 778329 h 3450772"/>
              <a:gd name="connsiteX150" fmla="*/ 429985 w 2500127"/>
              <a:gd name="connsiteY150" fmla="*/ 685800 h 3450772"/>
              <a:gd name="connsiteX151" fmla="*/ 451757 w 2500127"/>
              <a:gd name="connsiteY151" fmla="*/ 658586 h 3450772"/>
              <a:gd name="connsiteX152" fmla="*/ 560614 w 2500127"/>
              <a:gd name="connsiteY152" fmla="*/ 620486 h 3450772"/>
              <a:gd name="connsiteX153" fmla="*/ 560614 w 2500127"/>
              <a:gd name="connsiteY153" fmla="*/ 620486 h 3450772"/>
              <a:gd name="connsiteX154" fmla="*/ 636814 w 2500127"/>
              <a:gd name="connsiteY154" fmla="*/ 647700 h 3450772"/>
              <a:gd name="connsiteX155" fmla="*/ 658585 w 2500127"/>
              <a:gd name="connsiteY155" fmla="*/ 674914 h 3450772"/>
              <a:gd name="connsiteX156" fmla="*/ 772885 w 2500127"/>
              <a:gd name="connsiteY156" fmla="*/ 615043 h 3450772"/>
              <a:gd name="connsiteX157" fmla="*/ 745671 w 2500127"/>
              <a:gd name="connsiteY157" fmla="*/ 582386 h 3450772"/>
              <a:gd name="connsiteX158" fmla="*/ 740228 w 2500127"/>
              <a:gd name="connsiteY158" fmla="*/ 506186 h 3450772"/>
              <a:gd name="connsiteX159" fmla="*/ 702128 w 2500127"/>
              <a:gd name="connsiteY159" fmla="*/ 353786 h 3450772"/>
              <a:gd name="connsiteX160" fmla="*/ 685800 w 2500127"/>
              <a:gd name="connsiteY160" fmla="*/ 277586 h 3450772"/>
              <a:gd name="connsiteX161" fmla="*/ 674914 w 2500127"/>
              <a:gd name="connsiteY161" fmla="*/ 244929 h 3450772"/>
              <a:gd name="connsiteX162" fmla="*/ 615042 w 2500127"/>
              <a:gd name="connsiteY162" fmla="*/ 179614 h 3450772"/>
              <a:gd name="connsiteX163" fmla="*/ 604157 w 2500127"/>
              <a:gd name="connsiteY163" fmla="*/ 136072 h 3450772"/>
              <a:gd name="connsiteX164" fmla="*/ 598714 w 2500127"/>
              <a:gd name="connsiteY164" fmla="*/ 130629 h 3450772"/>
              <a:gd name="connsiteX165" fmla="*/ 734785 w 2500127"/>
              <a:gd name="connsiteY165" fmla="*/ 125186 h 3450772"/>
              <a:gd name="connsiteX166" fmla="*/ 745671 w 2500127"/>
              <a:gd name="connsiteY166" fmla="*/ 125186 h 3450772"/>
              <a:gd name="connsiteX167" fmla="*/ 810985 w 2500127"/>
              <a:gd name="connsiteY167" fmla="*/ 59872 h 3450772"/>
              <a:gd name="connsiteX168" fmla="*/ 985157 w 2500127"/>
              <a:gd name="connsiteY168" fmla="*/ 43543 h 3450772"/>
              <a:gd name="connsiteX169" fmla="*/ 1017814 w 2500127"/>
              <a:gd name="connsiteY169" fmla="*/ 81643 h 3450772"/>
              <a:gd name="connsiteX170" fmla="*/ 1126671 w 2500127"/>
              <a:gd name="connsiteY170" fmla="*/ 0 h 3450772"/>
              <a:gd name="connsiteX0" fmla="*/ 1126671 w 2500127"/>
              <a:gd name="connsiteY0" fmla="*/ 0 h 3450772"/>
              <a:gd name="connsiteX1" fmla="*/ 1181100 w 2500127"/>
              <a:gd name="connsiteY1" fmla="*/ 38100 h 3450772"/>
              <a:gd name="connsiteX2" fmla="*/ 1191985 w 2500127"/>
              <a:gd name="connsiteY2" fmla="*/ 87086 h 3450772"/>
              <a:gd name="connsiteX3" fmla="*/ 1230085 w 2500127"/>
              <a:gd name="connsiteY3" fmla="*/ 76200 h 3450772"/>
              <a:gd name="connsiteX4" fmla="*/ 1246414 w 2500127"/>
              <a:gd name="connsiteY4" fmla="*/ 141514 h 3450772"/>
              <a:gd name="connsiteX5" fmla="*/ 1246414 w 2500127"/>
              <a:gd name="connsiteY5" fmla="*/ 163286 h 3450772"/>
              <a:gd name="connsiteX6" fmla="*/ 1268185 w 2500127"/>
              <a:gd name="connsiteY6" fmla="*/ 179614 h 3450772"/>
              <a:gd name="connsiteX7" fmla="*/ 1398814 w 2500127"/>
              <a:gd name="connsiteY7" fmla="*/ 174172 h 3450772"/>
              <a:gd name="connsiteX8" fmla="*/ 1409700 w 2500127"/>
              <a:gd name="connsiteY8" fmla="*/ 174172 h 3450772"/>
              <a:gd name="connsiteX9" fmla="*/ 1398814 w 2500127"/>
              <a:gd name="connsiteY9" fmla="*/ 130629 h 3450772"/>
              <a:gd name="connsiteX10" fmla="*/ 1458685 w 2500127"/>
              <a:gd name="connsiteY10" fmla="*/ 174172 h 3450772"/>
              <a:gd name="connsiteX11" fmla="*/ 1464128 w 2500127"/>
              <a:gd name="connsiteY11" fmla="*/ 212272 h 3450772"/>
              <a:gd name="connsiteX12" fmla="*/ 1480457 w 2500127"/>
              <a:gd name="connsiteY12" fmla="*/ 250372 h 3450772"/>
              <a:gd name="connsiteX13" fmla="*/ 1583871 w 2500127"/>
              <a:gd name="connsiteY13" fmla="*/ 370114 h 3450772"/>
              <a:gd name="connsiteX14" fmla="*/ 1589314 w 2500127"/>
              <a:gd name="connsiteY14" fmla="*/ 386443 h 3450772"/>
              <a:gd name="connsiteX15" fmla="*/ 1567542 w 2500127"/>
              <a:gd name="connsiteY15" fmla="*/ 446314 h 3450772"/>
              <a:gd name="connsiteX16" fmla="*/ 1632857 w 2500127"/>
              <a:gd name="connsiteY16" fmla="*/ 511629 h 3450772"/>
              <a:gd name="connsiteX17" fmla="*/ 1676400 w 2500127"/>
              <a:gd name="connsiteY17" fmla="*/ 506186 h 3450772"/>
              <a:gd name="connsiteX18" fmla="*/ 1687285 w 2500127"/>
              <a:gd name="connsiteY18" fmla="*/ 576943 h 3450772"/>
              <a:gd name="connsiteX19" fmla="*/ 1730828 w 2500127"/>
              <a:gd name="connsiteY19" fmla="*/ 582386 h 3450772"/>
              <a:gd name="connsiteX20" fmla="*/ 1714500 w 2500127"/>
              <a:gd name="connsiteY20" fmla="*/ 636814 h 3450772"/>
              <a:gd name="connsiteX21" fmla="*/ 1747157 w 2500127"/>
              <a:gd name="connsiteY21" fmla="*/ 647700 h 3450772"/>
              <a:gd name="connsiteX22" fmla="*/ 1807028 w 2500127"/>
              <a:gd name="connsiteY22" fmla="*/ 625929 h 3450772"/>
              <a:gd name="connsiteX23" fmla="*/ 1839685 w 2500127"/>
              <a:gd name="connsiteY23" fmla="*/ 658586 h 3450772"/>
              <a:gd name="connsiteX24" fmla="*/ 1877785 w 2500127"/>
              <a:gd name="connsiteY24" fmla="*/ 620486 h 3450772"/>
              <a:gd name="connsiteX25" fmla="*/ 2024742 w 2500127"/>
              <a:gd name="connsiteY25" fmla="*/ 625929 h 3450772"/>
              <a:gd name="connsiteX26" fmla="*/ 2046514 w 2500127"/>
              <a:gd name="connsiteY26" fmla="*/ 593272 h 3450772"/>
              <a:gd name="connsiteX27" fmla="*/ 2193471 w 2500127"/>
              <a:gd name="connsiteY27" fmla="*/ 609600 h 3450772"/>
              <a:gd name="connsiteX28" fmla="*/ 2318657 w 2500127"/>
              <a:gd name="connsiteY28" fmla="*/ 609600 h 3450772"/>
              <a:gd name="connsiteX29" fmla="*/ 2336841 w 2500127"/>
              <a:gd name="connsiteY29" fmla="*/ 645666 h 3450772"/>
              <a:gd name="connsiteX30" fmla="*/ 2427514 w 2500127"/>
              <a:gd name="connsiteY30" fmla="*/ 701230 h 3450772"/>
              <a:gd name="connsiteX31" fmla="*/ 2472913 w 2500127"/>
              <a:gd name="connsiteY31" fmla="*/ 821872 h 3450772"/>
              <a:gd name="connsiteX32" fmla="*/ 2477477 w 2500127"/>
              <a:gd name="connsiteY32" fmla="*/ 881233 h 3450772"/>
              <a:gd name="connsiteX33" fmla="*/ 2500127 w 2500127"/>
              <a:gd name="connsiteY33" fmla="*/ 952500 h 3450772"/>
              <a:gd name="connsiteX34" fmla="*/ 2380384 w 2500127"/>
              <a:gd name="connsiteY34" fmla="*/ 1072244 h 3450772"/>
              <a:gd name="connsiteX35" fmla="*/ 2440256 w 2500127"/>
              <a:gd name="connsiteY35" fmla="*/ 1143000 h 3450772"/>
              <a:gd name="connsiteX36" fmla="*/ 2460831 w 2500127"/>
              <a:gd name="connsiteY36" fmla="*/ 1208314 h 3450772"/>
              <a:gd name="connsiteX37" fmla="*/ 2427514 w 2500127"/>
              <a:gd name="connsiteY37" fmla="*/ 1257300 h 3450772"/>
              <a:gd name="connsiteX38" fmla="*/ 2462027 w 2500127"/>
              <a:gd name="connsiteY38" fmla="*/ 1420586 h 3450772"/>
              <a:gd name="connsiteX39" fmla="*/ 2383971 w 2500127"/>
              <a:gd name="connsiteY39" fmla="*/ 1404257 h 3450772"/>
              <a:gd name="connsiteX40" fmla="*/ 2373085 w 2500127"/>
              <a:gd name="connsiteY40" fmla="*/ 1415143 h 3450772"/>
              <a:gd name="connsiteX41" fmla="*/ 2362200 w 2500127"/>
              <a:gd name="connsiteY41" fmla="*/ 1447800 h 3450772"/>
              <a:gd name="connsiteX42" fmla="*/ 2258785 w 2500127"/>
              <a:gd name="connsiteY42" fmla="*/ 1562100 h 3450772"/>
              <a:gd name="connsiteX43" fmla="*/ 2275114 w 2500127"/>
              <a:gd name="connsiteY43" fmla="*/ 1594757 h 3450772"/>
              <a:gd name="connsiteX44" fmla="*/ 2269136 w 2500127"/>
              <a:gd name="connsiteY44" fmla="*/ 1627414 h 3450772"/>
              <a:gd name="connsiteX45" fmla="*/ 2260641 w 2500127"/>
              <a:gd name="connsiteY45" fmla="*/ 1676400 h 3450772"/>
              <a:gd name="connsiteX46" fmla="*/ 2209800 w 2500127"/>
              <a:gd name="connsiteY46" fmla="*/ 1741714 h 3450772"/>
              <a:gd name="connsiteX47" fmla="*/ 2198914 w 2500127"/>
              <a:gd name="connsiteY47" fmla="*/ 1763486 h 3450772"/>
              <a:gd name="connsiteX48" fmla="*/ 2106385 w 2500127"/>
              <a:gd name="connsiteY48" fmla="*/ 1763486 h 3450772"/>
              <a:gd name="connsiteX49" fmla="*/ 2046514 w 2500127"/>
              <a:gd name="connsiteY49" fmla="*/ 1779814 h 3450772"/>
              <a:gd name="connsiteX50" fmla="*/ 1943100 w 2500127"/>
              <a:gd name="connsiteY50" fmla="*/ 1714500 h 3450772"/>
              <a:gd name="connsiteX51" fmla="*/ 1845128 w 2500127"/>
              <a:gd name="connsiteY51" fmla="*/ 1714500 h 3450772"/>
              <a:gd name="connsiteX52" fmla="*/ 1836099 w 2500127"/>
              <a:gd name="connsiteY52" fmla="*/ 1845130 h 3450772"/>
              <a:gd name="connsiteX53" fmla="*/ 1768928 w 2500127"/>
              <a:gd name="connsiteY53" fmla="*/ 1888672 h 3450772"/>
              <a:gd name="connsiteX54" fmla="*/ 1776227 w 2500127"/>
              <a:gd name="connsiteY54" fmla="*/ 1937657 h 3450772"/>
              <a:gd name="connsiteX55" fmla="*/ 1714500 w 2500127"/>
              <a:gd name="connsiteY55" fmla="*/ 1959429 h 3450772"/>
              <a:gd name="connsiteX56" fmla="*/ 1621971 w 2500127"/>
              <a:gd name="connsiteY56" fmla="*/ 2073729 h 3450772"/>
              <a:gd name="connsiteX57" fmla="*/ 1589314 w 2500127"/>
              <a:gd name="connsiteY57" fmla="*/ 2100943 h 3450772"/>
              <a:gd name="connsiteX58" fmla="*/ 1637765 w 2500127"/>
              <a:gd name="connsiteY58" fmla="*/ 2216380 h 3450772"/>
              <a:gd name="connsiteX59" fmla="*/ 1529442 w 2500127"/>
              <a:gd name="connsiteY59" fmla="*/ 2253343 h 3450772"/>
              <a:gd name="connsiteX60" fmla="*/ 1534885 w 2500127"/>
              <a:gd name="connsiteY60" fmla="*/ 2280557 h 3450772"/>
              <a:gd name="connsiteX61" fmla="*/ 1524000 w 2500127"/>
              <a:gd name="connsiteY61" fmla="*/ 2291443 h 3450772"/>
              <a:gd name="connsiteX62" fmla="*/ 1556657 w 2500127"/>
              <a:gd name="connsiteY62" fmla="*/ 2307772 h 3450772"/>
              <a:gd name="connsiteX63" fmla="*/ 1507671 w 2500127"/>
              <a:gd name="connsiteY63" fmla="*/ 2383972 h 3450772"/>
              <a:gd name="connsiteX64" fmla="*/ 1524000 w 2500127"/>
              <a:gd name="connsiteY64" fmla="*/ 2416629 h 3450772"/>
              <a:gd name="connsiteX65" fmla="*/ 1485900 w 2500127"/>
              <a:gd name="connsiteY65" fmla="*/ 2411186 h 3450772"/>
              <a:gd name="connsiteX66" fmla="*/ 1442357 w 2500127"/>
              <a:gd name="connsiteY66" fmla="*/ 2481943 h 3450772"/>
              <a:gd name="connsiteX67" fmla="*/ 1382485 w 2500127"/>
              <a:gd name="connsiteY67" fmla="*/ 2492829 h 3450772"/>
              <a:gd name="connsiteX68" fmla="*/ 1295400 w 2500127"/>
              <a:gd name="connsiteY68" fmla="*/ 2471057 h 3450772"/>
              <a:gd name="connsiteX69" fmla="*/ 1246414 w 2500127"/>
              <a:gd name="connsiteY69" fmla="*/ 2503714 h 3450772"/>
              <a:gd name="connsiteX70" fmla="*/ 1208314 w 2500127"/>
              <a:gd name="connsiteY70" fmla="*/ 2509157 h 3450772"/>
              <a:gd name="connsiteX71" fmla="*/ 1132114 w 2500127"/>
              <a:gd name="connsiteY71" fmla="*/ 2509157 h 3450772"/>
              <a:gd name="connsiteX72" fmla="*/ 1121228 w 2500127"/>
              <a:gd name="connsiteY72" fmla="*/ 2503714 h 3450772"/>
              <a:gd name="connsiteX73" fmla="*/ 1104900 w 2500127"/>
              <a:gd name="connsiteY73" fmla="*/ 2541814 h 3450772"/>
              <a:gd name="connsiteX74" fmla="*/ 1066800 w 2500127"/>
              <a:gd name="connsiteY74" fmla="*/ 2530929 h 3450772"/>
              <a:gd name="connsiteX75" fmla="*/ 1034142 w 2500127"/>
              <a:gd name="connsiteY75" fmla="*/ 2585357 h 3450772"/>
              <a:gd name="connsiteX76" fmla="*/ 1012371 w 2500127"/>
              <a:gd name="connsiteY76" fmla="*/ 2547257 h 3450772"/>
              <a:gd name="connsiteX77" fmla="*/ 892628 w 2500127"/>
              <a:gd name="connsiteY77" fmla="*/ 2585357 h 3450772"/>
              <a:gd name="connsiteX78" fmla="*/ 887185 w 2500127"/>
              <a:gd name="connsiteY78" fmla="*/ 2590800 h 3450772"/>
              <a:gd name="connsiteX79" fmla="*/ 898071 w 2500127"/>
              <a:gd name="connsiteY79" fmla="*/ 2661557 h 3450772"/>
              <a:gd name="connsiteX80" fmla="*/ 838200 w 2500127"/>
              <a:gd name="connsiteY80" fmla="*/ 2786743 h 3450772"/>
              <a:gd name="connsiteX81" fmla="*/ 854528 w 2500127"/>
              <a:gd name="connsiteY81" fmla="*/ 2830286 h 3450772"/>
              <a:gd name="connsiteX82" fmla="*/ 936171 w 2500127"/>
              <a:gd name="connsiteY82" fmla="*/ 2824843 h 3450772"/>
              <a:gd name="connsiteX83" fmla="*/ 979714 w 2500127"/>
              <a:gd name="connsiteY83" fmla="*/ 2906486 h 3450772"/>
              <a:gd name="connsiteX84" fmla="*/ 985157 w 2500127"/>
              <a:gd name="connsiteY84" fmla="*/ 2911929 h 3450772"/>
              <a:gd name="connsiteX85" fmla="*/ 985157 w 2500127"/>
              <a:gd name="connsiteY85" fmla="*/ 2911929 h 3450772"/>
              <a:gd name="connsiteX86" fmla="*/ 1001485 w 2500127"/>
              <a:gd name="connsiteY86" fmla="*/ 2960914 h 3450772"/>
              <a:gd name="connsiteX87" fmla="*/ 1006928 w 2500127"/>
              <a:gd name="connsiteY87" fmla="*/ 3048000 h 3450772"/>
              <a:gd name="connsiteX88" fmla="*/ 985157 w 2500127"/>
              <a:gd name="connsiteY88" fmla="*/ 3086100 h 3450772"/>
              <a:gd name="connsiteX89" fmla="*/ 881742 w 2500127"/>
              <a:gd name="connsiteY89" fmla="*/ 3216729 h 3450772"/>
              <a:gd name="connsiteX90" fmla="*/ 892628 w 2500127"/>
              <a:gd name="connsiteY90" fmla="*/ 3260272 h 3450772"/>
              <a:gd name="connsiteX91" fmla="*/ 849085 w 2500127"/>
              <a:gd name="connsiteY91" fmla="*/ 3276600 h 3450772"/>
              <a:gd name="connsiteX92" fmla="*/ 827314 w 2500127"/>
              <a:gd name="connsiteY92" fmla="*/ 3320143 h 3450772"/>
              <a:gd name="connsiteX93" fmla="*/ 810985 w 2500127"/>
              <a:gd name="connsiteY93" fmla="*/ 3369129 h 3450772"/>
              <a:gd name="connsiteX94" fmla="*/ 805542 w 2500127"/>
              <a:gd name="connsiteY94" fmla="*/ 3407229 h 3450772"/>
              <a:gd name="connsiteX95" fmla="*/ 805542 w 2500127"/>
              <a:gd name="connsiteY95" fmla="*/ 3423557 h 3450772"/>
              <a:gd name="connsiteX96" fmla="*/ 800100 w 2500127"/>
              <a:gd name="connsiteY96" fmla="*/ 3418114 h 3450772"/>
              <a:gd name="connsiteX97" fmla="*/ 778328 w 2500127"/>
              <a:gd name="connsiteY97" fmla="*/ 3418114 h 3450772"/>
              <a:gd name="connsiteX98" fmla="*/ 740228 w 2500127"/>
              <a:gd name="connsiteY98" fmla="*/ 3445329 h 3450772"/>
              <a:gd name="connsiteX99" fmla="*/ 702128 w 2500127"/>
              <a:gd name="connsiteY99" fmla="*/ 3434443 h 3450772"/>
              <a:gd name="connsiteX100" fmla="*/ 702128 w 2500127"/>
              <a:gd name="connsiteY100" fmla="*/ 3434443 h 3450772"/>
              <a:gd name="connsiteX101" fmla="*/ 664028 w 2500127"/>
              <a:gd name="connsiteY101" fmla="*/ 3450772 h 3450772"/>
              <a:gd name="connsiteX102" fmla="*/ 571500 w 2500127"/>
              <a:gd name="connsiteY102" fmla="*/ 3380014 h 3450772"/>
              <a:gd name="connsiteX103" fmla="*/ 533400 w 2500127"/>
              <a:gd name="connsiteY103" fmla="*/ 3309257 h 3450772"/>
              <a:gd name="connsiteX104" fmla="*/ 462642 w 2500127"/>
              <a:gd name="connsiteY104" fmla="*/ 3303814 h 3450772"/>
              <a:gd name="connsiteX105" fmla="*/ 277585 w 2500127"/>
              <a:gd name="connsiteY105" fmla="*/ 3243943 h 3450772"/>
              <a:gd name="connsiteX106" fmla="*/ 266700 w 2500127"/>
              <a:gd name="connsiteY106" fmla="*/ 3194957 h 3450772"/>
              <a:gd name="connsiteX107" fmla="*/ 228600 w 2500127"/>
              <a:gd name="connsiteY107" fmla="*/ 3194957 h 3450772"/>
              <a:gd name="connsiteX108" fmla="*/ 223157 w 2500127"/>
              <a:gd name="connsiteY108" fmla="*/ 3216729 h 3450772"/>
              <a:gd name="connsiteX109" fmla="*/ 223157 w 2500127"/>
              <a:gd name="connsiteY109" fmla="*/ 3243943 h 3450772"/>
              <a:gd name="connsiteX110" fmla="*/ 190500 w 2500127"/>
              <a:gd name="connsiteY110" fmla="*/ 3233057 h 3450772"/>
              <a:gd name="connsiteX111" fmla="*/ 163285 w 2500127"/>
              <a:gd name="connsiteY111" fmla="*/ 3211286 h 3450772"/>
              <a:gd name="connsiteX112" fmla="*/ 152400 w 2500127"/>
              <a:gd name="connsiteY112" fmla="*/ 3194957 h 3450772"/>
              <a:gd name="connsiteX113" fmla="*/ 174171 w 2500127"/>
              <a:gd name="connsiteY113" fmla="*/ 3151414 h 3450772"/>
              <a:gd name="connsiteX114" fmla="*/ 201385 w 2500127"/>
              <a:gd name="connsiteY114" fmla="*/ 3102429 h 3450772"/>
              <a:gd name="connsiteX115" fmla="*/ 185057 w 2500127"/>
              <a:gd name="connsiteY115" fmla="*/ 3064329 h 3450772"/>
              <a:gd name="connsiteX116" fmla="*/ 185057 w 2500127"/>
              <a:gd name="connsiteY116" fmla="*/ 3042557 h 3450772"/>
              <a:gd name="connsiteX117" fmla="*/ 125185 w 2500127"/>
              <a:gd name="connsiteY117" fmla="*/ 3042557 h 3450772"/>
              <a:gd name="connsiteX118" fmla="*/ 103414 w 2500127"/>
              <a:gd name="connsiteY118" fmla="*/ 3031672 h 3450772"/>
              <a:gd name="connsiteX119" fmla="*/ 70757 w 2500127"/>
              <a:gd name="connsiteY119" fmla="*/ 3058886 h 3450772"/>
              <a:gd name="connsiteX120" fmla="*/ 65314 w 2500127"/>
              <a:gd name="connsiteY120" fmla="*/ 3020786 h 3450772"/>
              <a:gd name="connsiteX121" fmla="*/ 0 w 2500127"/>
              <a:gd name="connsiteY121" fmla="*/ 2982686 h 3450772"/>
              <a:gd name="connsiteX122" fmla="*/ 54428 w 2500127"/>
              <a:gd name="connsiteY122" fmla="*/ 2933700 h 3450772"/>
              <a:gd name="connsiteX123" fmla="*/ 179614 w 2500127"/>
              <a:gd name="connsiteY123" fmla="*/ 2770414 h 3450772"/>
              <a:gd name="connsiteX124" fmla="*/ 326571 w 2500127"/>
              <a:gd name="connsiteY124" fmla="*/ 2122714 h 3450772"/>
              <a:gd name="connsiteX125" fmla="*/ 315685 w 2500127"/>
              <a:gd name="connsiteY125" fmla="*/ 2046514 h 3450772"/>
              <a:gd name="connsiteX126" fmla="*/ 359228 w 2500127"/>
              <a:gd name="connsiteY126" fmla="*/ 1964872 h 3450772"/>
              <a:gd name="connsiteX127" fmla="*/ 435428 w 2500127"/>
              <a:gd name="connsiteY127" fmla="*/ 1970314 h 3450772"/>
              <a:gd name="connsiteX128" fmla="*/ 440871 w 2500127"/>
              <a:gd name="connsiteY128" fmla="*/ 1937657 h 3450772"/>
              <a:gd name="connsiteX129" fmla="*/ 391885 w 2500127"/>
              <a:gd name="connsiteY129" fmla="*/ 1883229 h 3450772"/>
              <a:gd name="connsiteX130" fmla="*/ 386442 w 2500127"/>
              <a:gd name="connsiteY130" fmla="*/ 1872343 h 3450772"/>
              <a:gd name="connsiteX131" fmla="*/ 326571 w 2500127"/>
              <a:gd name="connsiteY131" fmla="*/ 1948543 h 3450772"/>
              <a:gd name="connsiteX132" fmla="*/ 408214 w 2500127"/>
              <a:gd name="connsiteY132" fmla="*/ 1338943 h 3450772"/>
              <a:gd name="connsiteX133" fmla="*/ 446314 w 2500127"/>
              <a:gd name="connsiteY133" fmla="*/ 1251857 h 3450772"/>
              <a:gd name="connsiteX134" fmla="*/ 462642 w 2500127"/>
              <a:gd name="connsiteY134" fmla="*/ 1300843 h 3450772"/>
              <a:gd name="connsiteX135" fmla="*/ 582385 w 2500127"/>
              <a:gd name="connsiteY135" fmla="*/ 1409700 h 3450772"/>
              <a:gd name="connsiteX136" fmla="*/ 620485 w 2500127"/>
              <a:gd name="connsiteY136" fmla="*/ 1513114 h 3450772"/>
              <a:gd name="connsiteX137" fmla="*/ 653142 w 2500127"/>
              <a:gd name="connsiteY137" fmla="*/ 1464129 h 3450772"/>
              <a:gd name="connsiteX138" fmla="*/ 625928 w 2500127"/>
              <a:gd name="connsiteY138" fmla="*/ 1344386 h 3450772"/>
              <a:gd name="connsiteX139" fmla="*/ 484414 w 2500127"/>
              <a:gd name="connsiteY139" fmla="*/ 1197429 h 3450772"/>
              <a:gd name="connsiteX140" fmla="*/ 435428 w 2500127"/>
              <a:gd name="connsiteY140" fmla="*/ 1164772 h 3450772"/>
              <a:gd name="connsiteX141" fmla="*/ 381000 w 2500127"/>
              <a:gd name="connsiteY141" fmla="*/ 1137557 h 3450772"/>
              <a:gd name="connsiteX142" fmla="*/ 370114 w 2500127"/>
              <a:gd name="connsiteY142" fmla="*/ 1083129 h 3450772"/>
              <a:gd name="connsiteX143" fmla="*/ 424542 w 2500127"/>
              <a:gd name="connsiteY143" fmla="*/ 1050472 h 3450772"/>
              <a:gd name="connsiteX144" fmla="*/ 468085 w 2500127"/>
              <a:gd name="connsiteY144" fmla="*/ 968829 h 3450772"/>
              <a:gd name="connsiteX145" fmla="*/ 446314 w 2500127"/>
              <a:gd name="connsiteY145" fmla="*/ 892629 h 3450772"/>
              <a:gd name="connsiteX146" fmla="*/ 446314 w 2500127"/>
              <a:gd name="connsiteY146" fmla="*/ 892629 h 3450772"/>
              <a:gd name="connsiteX147" fmla="*/ 478971 w 2500127"/>
              <a:gd name="connsiteY147" fmla="*/ 881743 h 3450772"/>
              <a:gd name="connsiteX148" fmla="*/ 424542 w 2500127"/>
              <a:gd name="connsiteY148" fmla="*/ 789214 h 3450772"/>
              <a:gd name="connsiteX149" fmla="*/ 386442 w 2500127"/>
              <a:gd name="connsiteY149" fmla="*/ 778329 h 3450772"/>
              <a:gd name="connsiteX150" fmla="*/ 429985 w 2500127"/>
              <a:gd name="connsiteY150" fmla="*/ 685800 h 3450772"/>
              <a:gd name="connsiteX151" fmla="*/ 451757 w 2500127"/>
              <a:gd name="connsiteY151" fmla="*/ 658586 h 3450772"/>
              <a:gd name="connsiteX152" fmla="*/ 560614 w 2500127"/>
              <a:gd name="connsiteY152" fmla="*/ 620486 h 3450772"/>
              <a:gd name="connsiteX153" fmla="*/ 560614 w 2500127"/>
              <a:gd name="connsiteY153" fmla="*/ 620486 h 3450772"/>
              <a:gd name="connsiteX154" fmla="*/ 636814 w 2500127"/>
              <a:gd name="connsiteY154" fmla="*/ 647700 h 3450772"/>
              <a:gd name="connsiteX155" fmla="*/ 658585 w 2500127"/>
              <a:gd name="connsiteY155" fmla="*/ 674914 h 3450772"/>
              <a:gd name="connsiteX156" fmla="*/ 772885 w 2500127"/>
              <a:gd name="connsiteY156" fmla="*/ 615043 h 3450772"/>
              <a:gd name="connsiteX157" fmla="*/ 745671 w 2500127"/>
              <a:gd name="connsiteY157" fmla="*/ 582386 h 3450772"/>
              <a:gd name="connsiteX158" fmla="*/ 740228 w 2500127"/>
              <a:gd name="connsiteY158" fmla="*/ 506186 h 3450772"/>
              <a:gd name="connsiteX159" fmla="*/ 702128 w 2500127"/>
              <a:gd name="connsiteY159" fmla="*/ 353786 h 3450772"/>
              <a:gd name="connsiteX160" fmla="*/ 685800 w 2500127"/>
              <a:gd name="connsiteY160" fmla="*/ 277586 h 3450772"/>
              <a:gd name="connsiteX161" fmla="*/ 674914 w 2500127"/>
              <a:gd name="connsiteY161" fmla="*/ 244929 h 3450772"/>
              <a:gd name="connsiteX162" fmla="*/ 615042 w 2500127"/>
              <a:gd name="connsiteY162" fmla="*/ 179614 h 3450772"/>
              <a:gd name="connsiteX163" fmla="*/ 604157 w 2500127"/>
              <a:gd name="connsiteY163" fmla="*/ 136072 h 3450772"/>
              <a:gd name="connsiteX164" fmla="*/ 598714 w 2500127"/>
              <a:gd name="connsiteY164" fmla="*/ 130629 h 3450772"/>
              <a:gd name="connsiteX165" fmla="*/ 734785 w 2500127"/>
              <a:gd name="connsiteY165" fmla="*/ 125186 h 3450772"/>
              <a:gd name="connsiteX166" fmla="*/ 745671 w 2500127"/>
              <a:gd name="connsiteY166" fmla="*/ 125186 h 3450772"/>
              <a:gd name="connsiteX167" fmla="*/ 810985 w 2500127"/>
              <a:gd name="connsiteY167" fmla="*/ 59872 h 3450772"/>
              <a:gd name="connsiteX168" fmla="*/ 985157 w 2500127"/>
              <a:gd name="connsiteY168" fmla="*/ 43543 h 3450772"/>
              <a:gd name="connsiteX169" fmla="*/ 1017814 w 2500127"/>
              <a:gd name="connsiteY169" fmla="*/ 81643 h 3450772"/>
              <a:gd name="connsiteX170" fmla="*/ 1126671 w 2500127"/>
              <a:gd name="connsiteY170" fmla="*/ 0 h 345077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 ang="0">
                <a:pos x="connsiteX141" y="connsiteY141"/>
              </a:cxn>
              <a:cxn ang="0">
                <a:pos x="connsiteX142" y="connsiteY142"/>
              </a:cxn>
              <a:cxn ang="0">
                <a:pos x="connsiteX143" y="connsiteY143"/>
              </a:cxn>
              <a:cxn ang="0">
                <a:pos x="connsiteX144" y="connsiteY144"/>
              </a:cxn>
              <a:cxn ang="0">
                <a:pos x="connsiteX145" y="connsiteY145"/>
              </a:cxn>
              <a:cxn ang="0">
                <a:pos x="connsiteX146" y="connsiteY146"/>
              </a:cxn>
              <a:cxn ang="0">
                <a:pos x="connsiteX147" y="connsiteY147"/>
              </a:cxn>
              <a:cxn ang="0">
                <a:pos x="connsiteX148" y="connsiteY148"/>
              </a:cxn>
              <a:cxn ang="0">
                <a:pos x="connsiteX149" y="connsiteY149"/>
              </a:cxn>
              <a:cxn ang="0">
                <a:pos x="connsiteX150" y="connsiteY150"/>
              </a:cxn>
              <a:cxn ang="0">
                <a:pos x="connsiteX151" y="connsiteY151"/>
              </a:cxn>
              <a:cxn ang="0">
                <a:pos x="connsiteX152" y="connsiteY152"/>
              </a:cxn>
              <a:cxn ang="0">
                <a:pos x="connsiteX153" y="connsiteY153"/>
              </a:cxn>
              <a:cxn ang="0">
                <a:pos x="connsiteX154" y="connsiteY154"/>
              </a:cxn>
              <a:cxn ang="0">
                <a:pos x="connsiteX155" y="connsiteY155"/>
              </a:cxn>
              <a:cxn ang="0">
                <a:pos x="connsiteX156" y="connsiteY156"/>
              </a:cxn>
              <a:cxn ang="0">
                <a:pos x="connsiteX157" y="connsiteY157"/>
              </a:cxn>
              <a:cxn ang="0">
                <a:pos x="connsiteX158" y="connsiteY158"/>
              </a:cxn>
              <a:cxn ang="0">
                <a:pos x="connsiteX159" y="connsiteY159"/>
              </a:cxn>
              <a:cxn ang="0">
                <a:pos x="connsiteX160" y="connsiteY160"/>
              </a:cxn>
              <a:cxn ang="0">
                <a:pos x="connsiteX161" y="connsiteY161"/>
              </a:cxn>
              <a:cxn ang="0">
                <a:pos x="connsiteX162" y="connsiteY162"/>
              </a:cxn>
              <a:cxn ang="0">
                <a:pos x="connsiteX163" y="connsiteY163"/>
              </a:cxn>
              <a:cxn ang="0">
                <a:pos x="connsiteX164" y="connsiteY164"/>
              </a:cxn>
              <a:cxn ang="0">
                <a:pos x="connsiteX165" y="connsiteY165"/>
              </a:cxn>
              <a:cxn ang="0">
                <a:pos x="connsiteX166" y="connsiteY166"/>
              </a:cxn>
              <a:cxn ang="0">
                <a:pos x="connsiteX167" y="connsiteY167"/>
              </a:cxn>
              <a:cxn ang="0">
                <a:pos x="connsiteX168" y="connsiteY168"/>
              </a:cxn>
              <a:cxn ang="0">
                <a:pos x="connsiteX169" y="connsiteY169"/>
              </a:cxn>
              <a:cxn ang="0">
                <a:pos x="connsiteX170" y="connsiteY170"/>
              </a:cxn>
            </a:cxnLst>
            <a:rect l="l" t="t" r="r" b="b"/>
            <a:pathLst>
              <a:path w="2500127" h="3450772">
                <a:moveTo>
                  <a:pt x="1126671" y="0"/>
                </a:moveTo>
                <a:lnTo>
                  <a:pt x="1181100" y="38100"/>
                </a:lnTo>
                <a:lnTo>
                  <a:pt x="1191985" y="87086"/>
                </a:lnTo>
                <a:lnTo>
                  <a:pt x="1230085" y="76200"/>
                </a:lnTo>
                <a:lnTo>
                  <a:pt x="1246414" y="141514"/>
                </a:lnTo>
                <a:lnTo>
                  <a:pt x="1246414" y="163286"/>
                </a:lnTo>
                <a:lnTo>
                  <a:pt x="1268185" y="179614"/>
                </a:lnTo>
                <a:lnTo>
                  <a:pt x="1398814" y="174172"/>
                </a:lnTo>
                <a:lnTo>
                  <a:pt x="1409700" y="174172"/>
                </a:lnTo>
                <a:lnTo>
                  <a:pt x="1398814" y="130629"/>
                </a:lnTo>
                <a:lnTo>
                  <a:pt x="1458685" y="174172"/>
                </a:lnTo>
                <a:lnTo>
                  <a:pt x="1464128" y="212272"/>
                </a:lnTo>
                <a:lnTo>
                  <a:pt x="1480457" y="250372"/>
                </a:lnTo>
                <a:lnTo>
                  <a:pt x="1583871" y="370114"/>
                </a:lnTo>
                <a:lnTo>
                  <a:pt x="1589314" y="386443"/>
                </a:lnTo>
                <a:lnTo>
                  <a:pt x="1567542" y="446314"/>
                </a:lnTo>
                <a:lnTo>
                  <a:pt x="1632857" y="511629"/>
                </a:lnTo>
                <a:lnTo>
                  <a:pt x="1676400" y="506186"/>
                </a:lnTo>
                <a:lnTo>
                  <a:pt x="1687285" y="576943"/>
                </a:lnTo>
                <a:lnTo>
                  <a:pt x="1730828" y="582386"/>
                </a:lnTo>
                <a:lnTo>
                  <a:pt x="1714500" y="636814"/>
                </a:lnTo>
                <a:lnTo>
                  <a:pt x="1747157" y="647700"/>
                </a:lnTo>
                <a:lnTo>
                  <a:pt x="1807028" y="625929"/>
                </a:lnTo>
                <a:lnTo>
                  <a:pt x="1839685" y="658586"/>
                </a:lnTo>
                <a:lnTo>
                  <a:pt x="1877785" y="620486"/>
                </a:lnTo>
                <a:lnTo>
                  <a:pt x="2024742" y="625929"/>
                </a:lnTo>
                <a:lnTo>
                  <a:pt x="2046514" y="593272"/>
                </a:lnTo>
                <a:lnTo>
                  <a:pt x="2193471" y="609600"/>
                </a:lnTo>
                <a:lnTo>
                  <a:pt x="2318657" y="609600"/>
                </a:lnTo>
                <a:lnTo>
                  <a:pt x="2336841" y="645666"/>
                </a:lnTo>
                <a:lnTo>
                  <a:pt x="2427514" y="701230"/>
                </a:lnTo>
                <a:lnTo>
                  <a:pt x="2472913" y="821872"/>
                </a:lnTo>
                <a:cubicBezTo>
                  <a:pt x="2481240" y="851873"/>
                  <a:pt x="2472941" y="859462"/>
                  <a:pt x="2477477" y="881233"/>
                </a:cubicBezTo>
                <a:lnTo>
                  <a:pt x="2500127" y="952500"/>
                </a:lnTo>
                <a:lnTo>
                  <a:pt x="2380384" y="1072244"/>
                </a:lnTo>
                <a:lnTo>
                  <a:pt x="2440256" y="1143000"/>
                </a:lnTo>
                <a:lnTo>
                  <a:pt x="2460831" y="1208314"/>
                </a:lnTo>
                <a:lnTo>
                  <a:pt x="2427514" y="1257300"/>
                </a:lnTo>
                <a:lnTo>
                  <a:pt x="2462027" y="1420586"/>
                </a:lnTo>
                <a:lnTo>
                  <a:pt x="2383971" y="1404257"/>
                </a:lnTo>
                <a:lnTo>
                  <a:pt x="2373085" y="1415143"/>
                </a:lnTo>
                <a:lnTo>
                  <a:pt x="2362200" y="1447800"/>
                </a:lnTo>
                <a:lnTo>
                  <a:pt x="2258785" y="1562100"/>
                </a:lnTo>
                <a:lnTo>
                  <a:pt x="2275114" y="1594757"/>
                </a:lnTo>
                <a:lnTo>
                  <a:pt x="2269136" y="1627414"/>
                </a:lnTo>
                <a:lnTo>
                  <a:pt x="2260641" y="1676400"/>
                </a:lnTo>
                <a:lnTo>
                  <a:pt x="2209800" y="1741714"/>
                </a:lnTo>
                <a:lnTo>
                  <a:pt x="2198914" y="1763486"/>
                </a:lnTo>
                <a:lnTo>
                  <a:pt x="2106385" y="1763486"/>
                </a:lnTo>
                <a:lnTo>
                  <a:pt x="2046514" y="1779814"/>
                </a:lnTo>
                <a:lnTo>
                  <a:pt x="1943100" y="1714500"/>
                </a:lnTo>
                <a:lnTo>
                  <a:pt x="1845128" y="1714500"/>
                </a:lnTo>
                <a:lnTo>
                  <a:pt x="1836099" y="1845130"/>
                </a:lnTo>
                <a:lnTo>
                  <a:pt x="1768928" y="1888672"/>
                </a:lnTo>
                <a:lnTo>
                  <a:pt x="1776227" y="1937657"/>
                </a:lnTo>
                <a:lnTo>
                  <a:pt x="1714500" y="1959429"/>
                </a:lnTo>
                <a:lnTo>
                  <a:pt x="1621971" y="2073729"/>
                </a:lnTo>
                <a:lnTo>
                  <a:pt x="1589314" y="2100943"/>
                </a:lnTo>
                <a:lnTo>
                  <a:pt x="1637765" y="2216380"/>
                </a:lnTo>
                <a:lnTo>
                  <a:pt x="1529442" y="2253343"/>
                </a:lnTo>
                <a:lnTo>
                  <a:pt x="1534885" y="2280557"/>
                </a:lnTo>
                <a:lnTo>
                  <a:pt x="1524000" y="2291443"/>
                </a:lnTo>
                <a:lnTo>
                  <a:pt x="1556657" y="2307772"/>
                </a:lnTo>
                <a:lnTo>
                  <a:pt x="1507671" y="2383972"/>
                </a:lnTo>
                <a:lnTo>
                  <a:pt x="1524000" y="2416629"/>
                </a:lnTo>
                <a:lnTo>
                  <a:pt x="1485900" y="2411186"/>
                </a:lnTo>
                <a:lnTo>
                  <a:pt x="1442357" y="2481943"/>
                </a:lnTo>
                <a:lnTo>
                  <a:pt x="1382485" y="2492829"/>
                </a:lnTo>
                <a:lnTo>
                  <a:pt x="1295400" y="2471057"/>
                </a:lnTo>
                <a:lnTo>
                  <a:pt x="1246414" y="2503714"/>
                </a:lnTo>
                <a:lnTo>
                  <a:pt x="1208314" y="2509157"/>
                </a:lnTo>
                <a:lnTo>
                  <a:pt x="1132114" y="2509157"/>
                </a:lnTo>
                <a:lnTo>
                  <a:pt x="1121228" y="2503714"/>
                </a:lnTo>
                <a:lnTo>
                  <a:pt x="1104900" y="2541814"/>
                </a:lnTo>
                <a:lnTo>
                  <a:pt x="1066800" y="2530929"/>
                </a:lnTo>
                <a:lnTo>
                  <a:pt x="1034142" y="2585357"/>
                </a:lnTo>
                <a:lnTo>
                  <a:pt x="1012371" y="2547257"/>
                </a:lnTo>
                <a:lnTo>
                  <a:pt x="892628" y="2585357"/>
                </a:lnTo>
                <a:lnTo>
                  <a:pt x="887185" y="2590800"/>
                </a:lnTo>
                <a:lnTo>
                  <a:pt x="898071" y="2661557"/>
                </a:lnTo>
                <a:lnTo>
                  <a:pt x="838200" y="2786743"/>
                </a:lnTo>
                <a:lnTo>
                  <a:pt x="854528" y="2830286"/>
                </a:lnTo>
                <a:lnTo>
                  <a:pt x="936171" y="2824843"/>
                </a:lnTo>
                <a:lnTo>
                  <a:pt x="979714" y="2906486"/>
                </a:lnTo>
                <a:lnTo>
                  <a:pt x="985157" y="2911929"/>
                </a:lnTo>
                <a:lnTo>
                  <a:pt x="985157" y="2911929"/>
                </a:lnTo>
                <a:lnTo>
                  <a:pt x="1001485" y="2960914"/>
                </a:lnTo>
                <a:lnTo>
                  <a:pt x="1006928" y="3048000"/>
                </a:lnTo>
                <a:lnTo>
                  <a:pt x="985157" y="3086100"/>
                </a:lnTo>
                <a:lnTo>
                  <a:pt x="881742" y="3216729"/>
                </a:lnTo>
                <a:lnTo>
                  <a:pt x="892628" y="3260272"/>
                </a:lnTo>
                <a:lnTo>
                  <a:pt x="849085" y="3276600"/>
                </a:lnTo>
                <a:lnTo>
                  <a:pt x="827314" y="3320143"/>
                </a:lnTo>
                <a:lnTo>
                  <a:pt x="810985" y="3369129"/>
                </a:lnTo>
                <a:lnTo>
                  <a:pt x="805542" y="3407229"/>
                </a:lnTo>
                <a:lnTo>
                  <a:pt x="805542" y="3423557"/>
                </a:lnTo>
                <a:lnTo>
                  <a:pt x="800100" y="3418114"/>
                </a:lnTo>
                <a:lnTo>
                  <a:pt x="778328" y="3418114"/>
                </a:lnTo>
                <a:lnTo>
                  <a:pt x="740228" y="3445329"/>
                </a:lnTo>
                <a:lnTo>
                  <a:pt x="702128" y="3434443"/>
                </a:lnTo>
                <a:lnTo>
                  <a:pt x="702128" y="3434443"/>
                </a:lnTo>
                <a:lnTo>
                  <a:pt x="664028" y="3450772"/>
                </a:lnTo>
                <a:lnTo>
                  <a:pt x="571500" y="3380014"/>
                </a:lnTo>
                <a:lnTo>
                  <a:pt x="533400" y="3309257"/>
                </a:lnTo>
                <a:lnTo>
                  <a:pt x="462642" y="3303814"/>
                </a:lnTo>
                <a:lnTo>
                  <a:pt x="277585" y="3243943"/>
                </a:lnTo>
                <a:lnTo>
                  <a:pt x="266700" y="3194957"/>
                </a:lnTo>
                <a:lnTo>
                  <a:pt x="228600" y="3194957"/>
                </a:lnTo>
                <a:lnTo>
                  <a:pt x="223157" y="3216729"/>
                </a:lnTo>
                <a:lnTo>
                  <a:pt x="223157" y="3243943"/>
                </a:lnTo>
                <a:lnTo>
                  <a:pt x="190500" y="3233057"/>
                </a:lnTo>
                <a:lnTo>
                  <a:pt x="163285" y="3211286"/>
                </a:lnTo>
                <a:lnTo>
                  <a:pt x="152400" y="3194957"/>
                </a:lnTo>
                <a:lnTo>
                  <a:pt x="174171" y="3151414"/>
                </a:lnTo>
                <a:lnTo>
                  <a:pt x="201385" y="3102429"/>
                </a:lnTo>
                <a:lnTo>
                  <a:pt x="185057" y="3064329"/>
                </a:lnTo>
                <a:lnTo>
                  <a:pt x="185057" y="3042557"/>
                </a:lnTo>
                <a:lnTo>
                  <a:pt x="125185" y="3042557"/>
                </a:lnTo>
                <a:lnTo>
                  <a:pt x="103414" y="3031672"/>
                </a:lnTo>
                <a:lnTo>
                  <a:pt x="70757" y="3058886"/>
                </a:lnTo>
                <a:lnTo>
                  <a:pt x="65314" y="3020786"/>
                </a:lnTo>
                <a:lnTo>
                  <a:pt x="0" y="2982686"/>
                </a:lnTo>
                <a:lnTo>
                  <a:pt x="54428" y="2933700"/>
                </a:lnTo>
                <a:lnTo>
                  <a:pt x="179614" y="2770414"/>
                </a:lnTo>
                <a:lnTo>
                  <a:pt x="326571" y="2122714"/>
                </a:lnTo>
                <a:lnTo>
                  <a:pt x="315685" y="2046514"/>
                </a:lnTo>
                <a:lnTo>
                  <a:pt x="359228" y="1964872"/>
                </a:lnTo>
                <a:lnTo>
                  <a:pt x="435428" y="1970314"/>
                </a:lnTo>
                <a:lnTo>
                  <a:pt x="440871" y="1937657"/>
                </a:lnTo>
                <a:lnTo>
                  <a:pt x="391885" y="1883229"/>
                </a:lnTo>
                <a:lnTo>
                  <a:pt x="386442" y="1872343"/>
                </a:lnTo>
                <a:lnTo>
                  <a:pt x="326571" y="1948543"/>
                </a:lnTo>
                <a:lnTo>
                  <a:pt x="408214" y="1338943"/>
                </a:lnTo>
                <a:lnTo>
                  <a:pt x="446314" y="1251857"/>
                </a:lnTo>
                <a:lnTo>
                  <a:pt x="462642" y="1300843"/>
                </a:lnTo>
                <a:lnTo>
                  <a:pt x="582385" y="1409700"/>
                </a:lnTo>
                <a:lnTo>
                  <a:pt x="620485" y="1513114"/>
                </a:lnTo>
                <a:lnTo>
                  <a:pt x="653142" y="1464129"/>
                </a:lnTo>
                <a:lnTo>
                  <a:pt x="625928" y="1344386"/>
                </a:lnTo>
                <a:lnTo>
                  <a:pt x="484414" y="1197429"/>
                </a:lnTo>
                <a:lnTo>
                  <a:pt x="435428" y="1164772"/>
                </a:lnTo>
                <a:lnTo>
                  <a:pt x="381000" y="1137557"/>
                </a:lnTo>
                <a:lnTo>
                  <a:pt x="370114" y="1083129"/>
                </a:lnTo>
                <a:lnTo>
                  <a:pt x="424542" y="1050472"/>
                </a:lnTo>
                <a:lnTo>
                  <a:pt x="468085" y="968829"/>
                </a:lnTo>
                <a:lnTo>
                  <a:pt x="446314" y="892629"/>
                </a:lnTo>
                <a:lnTo>
                  <a:pt x="446314" y="892629"/>
                </a:lnTo>
                <a:lnTo>
                  <a:pt x="478971" y="881743"/>
                </a:lnTo>
                <a:lnTo>
                  <a:pt x="424542" y="789214"/>
                </a:lnTo>
                <a:lnTo>
                  <a:pt x="386442" y="778329"/>
                </a:lnTo>
                <a:lnTo>
                  <a:pt x="429985" y="685800"/>
                </a:lnTo>
                <a:lnTo>
                  <a:pt x="451757" y="658586"/>
                </a:lnTo>
                <a:lnTo>
                  <a:pt x="560614" y="620486"/>
                </a:lnTo>
                <a:lnTo>
                  <a:pt x="560614" y="620486"/>
                </a:lnTo>
                <a:lnTo>
                  <a:pt x="636814" y="647700"/>
                </a:lnTo>
                <a:lnTo>
                  <a:pt x="658585" y="674914"/>
                </a:lnTo>
                <a:lnTo>
                  <a:pt x="772885" y="615043"/>
                </a:lnTo>
                <a:lnTo>
                  <a:pt x="745671" y="582386"/>
                </a:lnTo>
                <a:lnTo>
                  <a:pt x="740228" y="506186"/>
                </a:lnTo>
                <a:lnTo>
                  <a:pt x="702128" y="353786"/>
                </a:lnTo>
                <a:lnTo>
                  <a:pt x="685800" y="277586"/>
                </a:lnTo>
                <a:lnTo>
                  <a:pt x="674914" y="244929"/>
                </a:lnTo>
                <a:lnTo>
                  <a:pt x="615042" y="179614"/>
                </a:lnTo>
                <a:lnTo>
                  <a:pt x="604157" y="136072"/>
                </a:lnTo>
                <a:lnTo>
                  <a:pt x="598714" y="130629"/>
                </a:lnTo>
                <a:lnTo>
                  <a:pt x="734785" y="125186"/>
                </a:lnTo>
                <a:lnTo>
                  <a:pt x="745671" y="125186"/>
                </a:lnTo>
                <a:lnTo>
                  <a:pt x="810985" y="59872"/>
                </a:lnTo>
                <a:lnTo>
                  <a:pt x="985157" y="43543"/>
                </a:lnTo>
                <a:lnTo>
                  <a:pt x="1017814" y="81643"/>
                </a:lnTo>
                <a:lnTo>
                  <a:pt x="1126671" y="0"/>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28" name="Pays_de_la_Loire">
            <a:extLst>
              <a:ext uri="{FF2B5EF4-FFF2-40B4-BE49-F238E27FC236}">
                <a16:creationId xmlns:a16="http://schemas.microsoft.com/office/drawing/2014/main" id="{00000000-0008-0000-0100-000048010000}"/>
              </a:ext>
            </a:extLst>
          </xdr:cNvPr>
          <xdr:cNvSpPr/>
        </xdr:nvSpPr>
        <xdr:spPr>
          <a:xfrm>
            <a:off x="2105276" y="3154648"/>
            <a:ext cx="1990563" cy="1711881"/>
          </a:xfrm>
          <a:custGeom>
            <a:avLst/>
            <a:gdLst>
              <a:gd name="connsiteX0" fmla="*/ 1790700 w 1813560"/>
              <a:gd name="connsiteY0" fmla="*/ 293370 h 1764030"/>
              <a:gd name="connsiteX1" fmla="*/ 1733550 w 1813560"/>
              <a:gd name="connsiteY1" fmla="*/ 232410 h 1764030"/>
              <a:gd name="connsiteX2" fmla="*/ 1684020 w 1813560"/>
              <a:gd name="connsiteY2" fmla="*/ 247650 h 1764030"/>
              <a:gd name="connsiteX3" fmla="*/ 1581150 w 1813560"/>
              <a:gd name="connsiteY3" fmla="*/ 190500 h 1764030"/>
              <a:gd name="connsiteX4" fmla="*/ 1577340 w 1813560"/>
              <a:gd name="connsiteY4" fmla="*/ 83820 h 1764030"/>
              <a:gd name="connsiteX5" fmla="*/ 1539240 w 1813560"/>
              <a:gd name="connsiteY5" fmla="*/ 64770 h 1764030"/>
              <a:gd name="connsiteX6" fmla="*/ 1356360 w 1813560"/>
              <a:gd name="connsiteY6" fmla="*/ 148590 h 1764030"/>
              <a:gd name="connsiteX7" fmla="*/ 1352550 w 1813560"/>
              <a:gd name="connsiteY7" fmla="*/ 87630 h 1764030"/>
              <a:gd name="connsiteX8" fmla="*/ 1322070 w 1813560"/>
              <a:gd name="connsiteY8" fmla="*/ 64770 h 1764030"/>
              <a:gd name="connsiteX9" fmla="*/ 1303020 w 1813560"/>
              <a:gd name="connsiteY9" fmla="*/ 0 h 1764030"/>
              <a:gd name="connsiteX10" fmla="*/ 1253490 w 1813560"/>
              <a:gd name="connsiteY10" fmla="*/ 0 h 1764030"/>
              <a:gd name="connsiteX11" fmla="*/ 1238250 w 1813560"/>
              <a:gd name="connsiteY11" fmla="*/ 38100 h 1764030"/>
              <a:gd name="connsiteX12" fmla="*/ 1143000 w 1813560"/>
              <a:gd name="connsiteY12" fmla="*/ 26670 h 1764030"/>
              <a:gd name="connsiteX13" fmla="*/ 1055370 w 1813560"/>
              <a:gd name="connsiteY13" fmla="*/ 68580 h 1764030"/>
              <a:gd name="connsiteX14" fmla="*/ 1021080 w 1813560"/>
              <a:gd name="connsiteY14" fmla="*/ 49530 h 1764030"/>
              <a:gd name="connsiteX15" fmla="*/ 986790 w 1813560"/>
              <a:gd name="connsiteY15" fmla="*/ 72390 h 1764030"/>
              <a:gd name="connsiteX16" fmla="*/ 925830 w 1813560"/>
              <a:gd name="connsiteY16" fmla="*/ 15240 h 1764030"/>
              <a:gd name="connsiteX17" fmla="*/ 838200 w 1813560"/>
              <a:gd name="connsiteY17" fmla="*/ 15240 h 1764030"/>
              <a:gd name="connsiteX18" fmla="*/ 834390 w 1813560"/>
              <a:gd name="connsiteY18" fmla="*/ 163830 h 1764030"/>
              <a:gd name="connsiteX19" fmla="*/ 819150 w 1813560"/>
              <a:gd name="connsiteY19" fmla="*/ 201930 h 1764030"/>
              <a:gd name="connsiteX20" fmla="*/ 842010 w 1813560"/>
              <a:gd name="connsiteY20" fmla="*/ 415290 h 1764030"/>
              <a:gd name="connsiteX21" fmla="*/ 773430 w 1813560"/>
              <a:gd name="connsiteY21" fmla="*/ 445770 h 1764030"/>
              <a:gd name="connsiteX22" fmla="*/ 723900 w 1813560"/>
              <a:gd name="connsiteY22" fmla="*/ 560070 h 1764030"/>
              <a:gd name="connsiteX23" fmla="*/ 723900 w 1813560"/>
              <a:gd name="connsiteY23" fmla="*/ 590550 h 1764030"/>
              <a:gd name="connsiteX24" fmla="*/ 640080 w 1813560"/>
              <a:gd name="connsiteY24" fmla="*/ 544830 h 1764030"/>
              <a:gd name="connsiteX25" fmla="*/ 514350 w 1813560"/>
              <a:gd name="connsiteY25" fmla="*/ 594360 h 1764030"/>
              <a:gd name="connsiteX26" fmla="*/ 499110 w 1813560"/>
              <a:gd name="connsiteY26" fmla="*/ 636270 h 1764030"/>
              <a:gd name="connsiteX27" fmla="*/ 339090 w 1813560"/>
              <a:gd name="connsiteY27" fmla="*/ 632460 h 1764030"/>
              <a:gd name="connsiteX28" fmla="*/ 262890 w 1813560"/>
              <a:gd name="connsiteY28" fmla="*/ 681990 h 1764030"/>
              <a:gd name="connsiteX29" fmla="*/ 259080 w 1813560"/>
              <a:gd name="connsiteY29" fmla="*/ 754380 h 1764030"/>
              <a:gd name="connsiteX30" fmla="*/ 53340 w 1813560"/>
              <a:gd name="connsiteY30" fmla="*/ 811530 h 1764030"/>
              <a:gd name="connsiteX31" fmla="*/ 0 w 1813560"/>
              <a:gd name="connsiteY31" fmla="*/ 861060 h 1764030"/>
              <a:gd name="connsiteX32" fmla="*/ 26670 w 1813560"/>
              <a:gd name="connsiteY32" fmla="*/ 941070 h 1764030"/>
              <a:gd name="connsiteX33" fmla="*/ 102870 w 1813560"/>
              <a:gd name="connsiteY33" fmla="*/ 956310 h 1764030"/>
              <a:gd name="connsiteX34" fmla="*/ 121920 w 1813560"/>
              <a:gd name="connsiteY34" fmla="*/ 982980 h 1764030"/>
              <a:gd name="connsiteX35" fmla="*/ 198120 w 1813560"/>
              <a:gd name="connsiteY35" fmla="*/ 937260 h 1764030"/>
              <a:gd name="connsiteX36" fmla="*/ 278130 w 1813560"/>
              <a:gd name="connsiteY36" fmla="*/ 933450 h 1764030"/>
              <a:gd name="connsiteX37" fmla="*/ 201930 w 1813560"/>
              <a:gd name="connsiteY37" fmla="*/ 967740 h 1764030"/>
              <a:gd name="connsiteX38" fmla="*/ 194310 w 1813560"/>
              <a:gd name="connsiteY38" fmla="*/ 1040130 h 1764030"/>
              <a:gd name="connsiteX39" fmla="*/ 175260 w 1813560"/>
              <a:gd name="connsiteY39" fmla="*/ 1055370 h 1764030"/>
              <a:gd name="connsiteX40" fmla="*/ 213360 w 1813560"/>
              <a:gd name="connsiteY40" fmla="*/ 1093470 h 1764030"/>
              <a:gd name="connsiteX41" fmla="*/ 289560 w 1813560"/>
              <a:gd name="connsiteY41" fmla="*/ 1154430 h 1764030"/>
              <a:gd name="connsiteX42" fmla="*/ 201930 w 1813560"/>
              <a:gd name="connsiteY42" fmla="*/ 1238250 h 1764030"/>
              <a:gd name="connsiteX43" fmla="*/ 198120 w 1813560"/>
              <a:gd name="connsiteY43" fmla="*/ 1295400 h 1764030"/>
              <a:gd name="connsiteX44" fmla="*/ 323850 w 1813560"/>
              <a:gd name="connsiteY44" fmla="*/ 1466850 h 1764030"/>
              <a:gd name="connsiteX45" fmla="*/ 358140 w 1813560"/>
              <a:gd name="connsiteY45" fmla="*/ 1562100 h 1764030"/>
              <a:gd name="connsiteX46" fmla="*/ 449580 w 1813560"/>
              <a:gd name="connsiteY46" fmla="*/ 1638300 h 1764030"/>
              <a:gd name="connsiteX47" fmla="*/ 510540 w 1813560"/>
              <a:gd name="connsiteY47" fmla="*/ 1657350 h 1764030"/>
              <a:gd name="connsiteX48" fmla="*/ 541020 w 1813560"/>
              <a:gd name="connsiteY48" fmla="*/ 1699260 h 1764030"/>
              <a:gd name="connsiteX49" fmla="*/ 598170 w 1813560"/>
              <a:gd name="connsiteY49" fmla="*/ 1703070 h 1764030"/>
              <a:gd name="connsiteX50" fmla="*/ 674370 w 1813560"/>
              <a:gd name="connsiteY50" fmla="*/ 1764030 h 1764030"/>
              <a:gd name="connsiteX51" fmla="*/ 693420 w 1813560"/>
              <a:gd name="connsiteY51" fmla="*/ 1733550 h 1764030"/>
              <a:gd name="connsiteX52" fmla="*/ 716280 w 1813560"/>
              <a:gd name="connsiteY52" fmla="*/ 1737360 h 1764030"/>
              <a:gd name="connsiteX53" fmla="*/ 826770 w 1813560"/>
              <a:gd name="connsiteY53" fmla="*/ 1699260 h 1764030"/>
              <a:gd name="connsiteX54" fmla="*/ 811530 w 1813560"/>
              <a:gd name="connsiteY54" fmla="*/ 1733550 h 1764030"/>
              <a:gd name="connsiteX55" fmla="*/ 899160 w 1813560"/>
              <a:gd name="connsiteY55" fmla="*/ 1722120 h 1764030"/>
              <a:gd name="connsiteX56" fmla="*/ 922020 w 1813560"/>
              <a:gd name="connsiteY56" fmla="*/ 1748790 h 1764030"/>
              <a:gd name="connsiteX57" fmla="*/ 1040130 w 1813560"/>
              <a:gd name="connsiteY57" fmla="*/ 1687830 h 1764030"/>
              <a:gd name="connsiteX58" fmla="*/ 1017270 w 1813560"/>
              <a:gd name="connsiteY58" fmla="*/ 1668780 h 1764030"/>
              <a:gd name="connsiteX59" fmla="*/ 1005840 w 1813560"/>
              <a:gd name="connsiteY59" fmla="*/ 1657350 h 1764030"/>
              <a:gd name="connsiteX60" fmla="*/ 1009650 w 1813560"/>
              <a:gd name="connsiteY60" fmla="*/ 1577340 h 1764030"/>
              <a:gd name="connsiteX61" fmla="*/ 960120 w 1813560"/>
              <a:gd name="connsiteY61" fmla="*/ 1356360 h 1764030"/>
              <a:gd name="connsiteX62" fmla="*/ 902970 w 1813560"/>
              <a:gd name="connsiteY62" fmla="*/ 1283970 h 1764030"/>
              <a:gd name="connsiteX63" fmla="*/ 868680 w 1813560"/>
              <a:gd name="connsiteY63" fmla="*/ 1219200 h 1764030"/>
              <a:gd name="connsiteX64" fmla="*/ 1017270 w 1813560"/>
              <a:gd name="connsiteY64" fmla="*/ 1207770 h 1764030"/>
              <a:gd name="connsiteX65" fmla="*/ 1085850 w 1813560"/>
              <a:gd name="connsiteY65" fmla="*/ 1139190 h 1764030"/>
              <a:gd name="connsiteX66" fmla="*/ 1253490 w 1813560"/>
              <a:gd name="connsiteY66" fmla="*/ 1131570 h 1764030"/>
              <a:gd name="connsiteX67" fmla="*/ 1287780 w 1813560"/>
              <a:gd name="connsiteY67" fmla="*/ 1165860 h 1764030"/>
              <a:gd name="connsiteX68" fmla="*/ 1386840 w 1813560"/>
              <a:gd name="connsiteY68" fmla="*/ 1089660 h 1764030"/>
              <a:gd name="connsiteX69" fmla="*/ 1459230 w 1813560"/>
              <a:gd name="connsiteY69" fmla="*/ 883920 h 1764030"/>
              <a:gd name="connsiteX70" fmla="*/ 1482090 w 1813560"/>
              <a:gd name="connsiteY70" fmla="*/ 746760 h 1764030"/>
              <a:gd name="connsiteX71" fmla="*/ 1565910 w 1813560"/>
              <a:gd name="connsiteY71" fmla="*/ 773430 h 1764030"/>
              <a:gd name="connsiteX72" fmla="*/ 1550670 w 1813560"/>
              <a:gd name="connsiteY72" fmla="*/ 731520 h 1764030"/>
              <a:gd name="connsiteX73" fmla="*/ 1604010 w 1813560"/>
              <a:gd name="connsiteY73" fmla="*/ 739140 h 1764030"/>
              <a:gd name="connsiteX74" fmla="*/ 1684020 w 1813560"/>
              <a:gd name="connsiteY74" fmla="*/ 681990 h 1764030"/>
              <a:gd name="connsiteX75" fmla="*/ 1703070 w 1813560"/>
              <a:gd name="connsiteY75" fmla="*/ 624840 h 1764030"/>
              <a:gd name="connsiteX76" fmla="*/ 1741170 w 1813560"/>
              <a:gd name="connsiteY76" fmla="*/ 624840 h 1764030"/>
              <a:gd name="connsiteX77" fmla="*/ 1809750 w 1813560"/>
              <a:gd name="connsiteY77" fmla="*/ 487680 h 1764030"/>
              <a:gd name="connsiteX78" fmla="*/ 1809750 w 1813560"/>
              <a:gd name="connsiteY78" fmla="*/ 415290 h 1764030"/>
              <a:gd name="connsiteX79" fmla="*/ 1790700 w 1813560"/>
              <a:gd name="connsiteY79" fmla="*/ 384810 h 1764030"/>
              <a:gd name="connsiteX80" fmla="*/ 1813560 w 1813560"/>
              <a:gd name="connsiteY80" fmla="*/ 361950 h 1764030"/>
              <a:gd name="connsiteX81" fmla="*/ 1790700 w 1813560"/>
              <a:gd name="connsiteY81" fmla="*/ 293370 h 176403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Lst>
            <a:rect l="l" t="t" r="r" b="b"/>
            <a:pathLst>
              <a:path w="1813560" h="1764030">
                <a:moveTo>
                  <a:pt x="1790700" y="293370"/>
                </a:moveTo>
                <a:lnTo>
                  <a:pt x="1733550" y="232410"/>
                </a:lnTo>
                <a:lnTo>
                  <a:pt x="1684020" y="247650"/>
                </a:lnTo>
                <a:lnTo>
                  <a:pt x="1581150" y="190500"/>
                </a:lnTo>
                <a:lnTo>
                  <a:pt x="1577340" y="83820"/>
                </a:lnTo>
                <a:lnTo>
                  <a:pt x="1539240" y="64770"/>
                </a:lnTo>
                <a:lnTo>
                  <a:pt x="1356360" y="148590"/>
                </a:lnTo>
                <a:lnTo>
                  <a:pt x="1352550" y="87630"/>
                </a:lnTo>
                <a:lnTo>
                  <a:pt x="1322070" y="64770"/>
                </a:lnTo>
                <a:lnTo>
                  <a:pt x="1303020" y="0"/>
                </a:lnTo>
                <a:lnTo>
                  <a:pt x="1253490" y="0"/>
                </a:lnTo>
                <a:lnTo>
                  <a:pt x="1238250" y="38100"/>
                </a:lnTo>
                <a:lnTo>
                  <a:pt x="1143000" y="26670"/>
                </a:lnTo>
                <a:lnTo>
                  <a:pt x="1055370" y="68580"/>
                </a:lnTo>
                <a:lnTo>
                  <a:pt x="1021080" y="49530"/>
                </a:lnTo>
                <a:lnTo>
                  <a:pt x="986790" y="72390"/>
                </a:lnTo>
                <a:lnTo>
                  <a:pt x="925830" y="15240"/>
                </a:lnTo>
                <a:lnTo>
                  <a:pt x="838200" y="15240"/>
                </a:lnTo>
                <a:lnTo>
                  <a:pt x="834390" y="163830"/>
                </a:lnTo>
                <a:lnTo>
                  <a:pt x="819150" y="201930"/>
                </a:lnTo>
                <a:lnTo>
                  <a:pt x="842010" y="415290"/>
                </a:lnTo>
                <a:lnTo>
                  <a:pt x="773430" y="445770"/>
                </a:lnTo>
                <a:lnTo>
                  <a:pt x="723900" y="560070"/>
                </a:lnTo>
                <a:lnTo>
                  <a:pt x="723900" y="590550"/>
                </a:lnTo>
                <a:lnTo>
                  <a:pt x="640080" y="544830"/>
                </a:lnTo>
                <a:lnTo>
                  <a:pt x="514350" y="594360"/>
                </a:lnTo>
                <a:lnTo>
                  <a:pt x="499110" y="636270"/>
                </a:lnTo>
                <a:lnTo>
                  <a:pt x="339090" y="632460"/>
                </a:lnTo>
                <a:lnTo>
                  <a:pt x="262890" y="681990"/>
                </a:lnTo>
                <a:lnTo>
                  <a:pt x="259080" y="754380"/>
                </a:lnTo>
                <a:lnTo>
                  <a:pt x="53340" y="811530"/>
                </a:lnTo>
                <a:lnTo>
                  <a:pt x="0" y="861060"/>
                </a:lnTo>
                <a:lnTo>
                  <a:pt x="26670" y="941070"/>
                </a:lnTo>
                <a:lnTo>
                  <a:pt x="102870" y="956310"/>
                </a:lnTo>
                <a:lnTo>
                  <a:pt x="121920" y="982980"/>
                </a:lnTo>
                <a:lnTo>
                  <a:pt x="198120" y="937260"/>
                </a:lnTo>
                <a:lnTo>
                  <a:pt x="278130" y="933450"/>
                </a:lnTo>
                <a:lnTo>
                  <a:pt x="201930" y="967740"/>
                </a:lnTo>
                <a:lnTo>
                  <a:pt x="194310" y="1040130"/>
                </a:lnTo>
                <a:lnTo>
                  <a:pt x="175260" y="1055370"/>
                </a:lnTo>
                <a:lnTo>
                  <a:pt x="213360" y="1093470"/>
                </a:lnTo>
                <a:lnTo>
                  <a:pt x="289560" y="1154430"/>
                </a:lnTo>
                <a:lnTo>
                  <a:pt x="201930" y="1238250"/>
                </a:lnTo>
                <a:lnTo>
                  <a:pt x="198120" y="1295400"/>
                </a:lnTo>
                <a:lnTo>
                  <a:pt x="323850" y="1466850"/>
                </a:lnTo>
                <a:lnTo>
                  <a:pt x="358140" y="1562100"/>
                </a:lnTo>
                <a:lnTo>
                  <a:pt x="449580" y="1638300"/>
                </a:lnTo>
                <a:lnTo>
                  <a:pt x="510540" y="1657350"/>
                </a:lnTo>
                <a:lnTo>
                  <a:pt x="541020" y="1699260"/>
                </a:lnTo>
                <a:lnTo>
                  <a:pt x="598170" y="1703070"/>
                </a:lnTo>
                <a:lnTo>
                  <a:pt x="674370" y="1764030"/>
                </a:lnTo>
                <a:lnTo>
                  <a:pt x="693420" y="1733550"/>
                </a:lnTo>
                <a:lnTo>
                  <a:pt x="716280" y="1737360"/>
                </a:lnTo>
                <a:lnTo>
                  <a:pt x="826770" y="1699260"/>
                </a:lnTo>
                <a:lnTo>
                  <a:pt x="811530" y="1733550"/>
                </a:lnTo>
                <a:lnTo>
                  <a:pt x="899160" y="1722120"/>
                </a:lnTo>
                <a:lnTo>
                  <a:pt x="922020" y="1748790"/>
                </a:lnTo>
                <a:lnTo>
                  <a:pt x="1040130" y="1687830"/>
                </a:lnTo>
                <a:lnTo>
                  <a:pt x="1017270" y="1668780"/>
                </a:lnTo>
                <a:lnTo>
                  <a:pt x="1005840" y="1657350"/>
                </a:lnTo>
                <a:lnTo>
                  <a:pt x="1009650" y="1577340"/>
                </a:lnTo>
                <a:lnTo>
                  <a:pt x="960120" y="1356360"/>
                </a:lnTo>
                <a:lnTo>
                  <a:pt x="902970" y="1283970"/>
                </a:lnTo>
                <a:lnTo>
                  <a:pt x="868680" y="1219200"/>
                </a:lnTo>
                <a:lnTo>
                  <a:pt x="1017270" y="1207770"/>
                </a:lnTo>
                <a:lnTo>
                  <a:pt x="1085850" y="1139190"/>
                </a:lnTo>
                <a:lnTo>
                  <a:pt x="1253490" y="1131570"/>
                </a:lnTo>
                <a:lnTo>
                  <a:pt x="1287780" y="1165860"/>
                </a:lnTo>
                <a:lnTo>
                  <a:pt x="1386840" y="1089660"/>
                </a:lnTo>
                <a:lnTo>
                  <a:pt x="1459230" y="883920"/>
                </a:lnTo>
                <a:lnTo>
                  <a:pt x="1482090" y="746760"/>
                </a:lnTo>
                <a:lnTo>
                  <a:pt x="1565910" y="773430"/>
                </a:lnTo>
                <a:lnTo>
                  <a:pt x="1550670" y="731520"/>
                </a:lnTo>
                <a:lnTo>
                  <a:pt x="1604010" y="739140"/>
                </a:lnTo>
                <a:lnTo>
                  <a:pt x="1684020" y="681990"/>
                </a:lnTo>
                <a:lnTo>
                  <a:pt x="1703070" y="624840"/>
                </a:lnTo>
                <a:lnTo>
                  <a:pt x="1741170" y="624840"/>
                </a:lnTo>
                <a:lnTo>
                  <a:pt x="1809750" y="487680"/>
                </a:lnTo>
                <a:lnTo>
                  <a:pt x="1809750" y="415290"/>
                </a:lnTo>
                <a:lnTo>
                  <a:pt x="1790700" y="384810"/>
                </a:lnTo>
                <a:lnTo>
                  <a:pt x="1813560" y="361950"/>
                </a:lnTo>
                <a:lnTo>
                  <a:pt x="1790700" y="293370"/>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29" name="Bretagne">
            <a:extLst>
              <a:ext uri="{FF2B5EF4-FFF2-40B4-BE49-F238E27FC236}">
                <a16:creationId xmlns:a16="http://schemas.microsoft.com/office/drawing/2014/main" id="{00000000-0008-0000-0100-000049010000}"/>
              </a:ext>
            </a:extLst>
          </xdr:cNvPr>
          <xdr:cNvSpPr/>
        </xdr:nvSpPr>
        <xdr:spPr>
          <a:xfrm>
            <a:off x="886958" y="2842408"/>
            <a:ext cx="2138320" cy="1101630"/>
          </a:xfrm>
          <a:custGeom>
            <a:avLst/>
            <a:gdLst>
              <a:gd name="connsiteX0" fmla="*/ 1676400 w 1948248"/>
              <a:gd name="connsiteY0" fmla="*/ 240957 h 1140941"/>
              <a:gd name="connsiteX1" fmla="*/ 1536357 w 1948248"/>
              <a:gd name="connsiteY1" fmla="*/ 243017 h 1140941"/>
              <a:gd name="connsiteX2" fmla="*/ 1540476 w 1948248"/>
              <a:gd name="connsiteY2" fmla="*/ 170935 h 1140941"/>
              <a:gd name="connsiteX3" fmla="*/ 1493108 w 1948248"/>
              <a:gd name="connsiteY3" fmla="*/ 183292 h 1140941"/>
              <a:gd name="connsiteX4" fmla="*/ 1453978 w 1948248"/>
              <a:gd name="connsiteY4" fmla="*/ 228600 h 1140941"/>
              <a:gd name="connsiteX5" fmla="*/ 1476632 w 1948248"/>
              <a:gd name="connsiteY5" fmla="*/ 302741 h 1140941"/>
              <a:gd name="connsiteX6" fmla="*/ 1447800 w 1948248"/>
              <a:gd name="connsiteY6" fmla="*/ 271849 h 1140941"/>
              <a:gd name="connsiteX7" fmla="*/ 1435443 w 1948248"/>
              <a:gd name="connsiteY7" fmla="*/ 224481 h 1140941"/>
              <a:gd name="connsiteX8" fmla="*/ 1398373 w 1948248"/>
              <a:gd name="connsiteY8" fmla="*/ 224481 h 1140941"/>
              <a:gd name="connsiteX9" fmla="*/ 1394254 w 1948248"/>
              <a:gd name="connsiteY9" fmla="*/ 247135 h 1140941"/>
              <a:gd name="connsiteX10" fmla="*/ 1346886 w 1948248"/>
              <a:gd name="connsiteY10" fmla="*/ 249195 h 1140941"/>
              <a:gd name="connsiteX11" fmla="*/ 1330411 w 1948248"/>
              <a:gd name="connsiteY11" fmla="*/ 214184 h 1140941"/>
              <a:gd name="connsiteX12" fmla="*/ 1289221 w 1948248"/>
              <a:gd name="connsiteY12" fmla="*/ 224481 h 1140941"/>
              <a:gd name="connsiteX13" fmla="*/ 1280984 w 1948248"/>
              <a:gd name="connsiteY13" fmla="*/ 195649 h 1140941"/>
              <a:gd name="connsiteX14" fmla="*/ 1229497 w 1948248"/>
              <a:gd name="connsiteY14" fmla="*/ 199768 h 1140941"/>
              <a:gd name="connsiteX15" fmla="*/ 1095632 w 1948248"/>
              <a:gd name="connsiteY15" fmla="*/ 315098 h 1140941"/>
              <a:gd name="connsiteX16" fmla="*/ 1085335 w 1948248"/>
              <a:gd name="connsiteY16" fmla="*/ 263611 h 1140941"/>
              <a:gd name="connsiteX17" fmla="*/ 1037967 w 1948248"/>
              <a:gd name="connsiteY17" fmla="*/ 236838 h 1140941"/>
              <a:gd name="connsiteX18" fmla="*/ 1033848 w 1948248"/>
              <a:gd name="connsiteY18" fmla="*/ 193590 h 1140941"/>
              <a:gd name="connsiteX19" fmla="*/ 974124 w 1948248"/>
              <a:gd name="connsiteY19" fmla="*/ 88557 h 1140941"/>
              <a:gd name="connsiteX20" fmla="*/ 934994 w 1948248"/>
              <a:gd name="connsiteY20" fmla="*/ 84438 h 1140941"/>
              <a:gd name="connsiteX21" fmla="*/ 949411 w 1948248"/>
              <a:gd name="connsiteY21" fmla="*/ 43249 h 1140941"/>
              <a:gd name="connsiteX22" fmla="*/ 906162 w 1948248"/>
              <a:gd name="connsiteY22" fmla="*/ 53546 h 1140941"/>
              <a:gd name="connsiteX23" fmla="*/ 885567 w 1948248"/>
              <a:gd name="connsiteY23" fmla="*/ 90617 h 1140941"/>
              <a:gd name="connsiteX24" fmla="*/ 904103 w 1948248"/>
              <a:gd name="connsiteY24" fmla="*/ 0 h 1140941"/>
              <a:gd name="connsiteX25" fmla="*/ 846438 w 1948248"/>
              <a:gd name="connsiteY25" fmla="*/ 45308 h 1140941"/>
              <a:gd name="connsiteX26" fmla="*/ 834081 w 1948248"/>
              <a:gd name="connsiteY26" fmla="*/ 2060 h 1140941"/>
              <a:gd name="connsiteX27" fmla="*/ 722870 w 1948248"/>
              <a:gd name="connsiteY27" fmla="*/ 51487 h 1140941"/>
              <a:gd name="connsiteX28" fmla="*/ 706394 w 1948248"/>
              <a:gd name="connsiteY28" fmla="*/ 20595 h 1140941"/>
              <a:gd name="connsiteX29" fmla="*/ 646670 w 1948248"/>
              <a:gd name="connsiteY29" fmla="*/ 70022 h 1140941"/>
              <a:gd name="connsiteX30" fmla="*/ 646670 w 1948248"/>
              <a:gd name="connsiteY30" fmla="*/ 144163 h 1140941"/>
              <a:gd name="connsiteX31" fmla="*/ 597243 w 1948248"/>
              <a:gd name="connsiteY31" fmla="*/ 152400 h 1140941"/>
              <a:gd name="connsiteX32" fmla="*/ 531340 w 1948248"/>
              <a:gd name="connsiteY32" fmla="*/ 107092 h 1140941"/>
              <a:gd name="connsiteX33" fmla="*/ 500448 w 1948248"/>
              <a:gd name="connsiteY33" fmla="*/ 119449 h 1140941"/>
              <a:gd name="connsiteX34" fmla="*/ 496330 w 1948248"/>
              <a:gd name="connsiteY34" fmla="*/ 166817 h 1140941"/>
              <a:gd name="connsiteX35" fmla="*/ 469557 w 1948248"/>
              <a:gd name="connsiteY35" fmla="*/ 131806 h 1140941"/>
              <a:gd name="connsiteX36" fmla="*/ 453081 w 1948248"/>
              <a:gd name="connsiteY36" fmla="*/ 164757 h 1140941"/>
              <a:gd name="connsiteX37" fmla="*/ 444843 w 1948248"/>
              <a:gd name="connsiteY37" fmla="*/ 84438 h 1140941"/>
              <a:gd name="connsiteX38" fmla="*/ 259492 w 1948248"/>
              <a:gd name="connsiteY38" fmla="*/ 144163 h 1140941"/>
              <a:gd name="connsiteX39" fmla="*/ 247135 w 1948248"/>
              <a:gd name="connsiteY39" fmla="*/ 113271 h 1140941"/>
              <a:gd name="connsiteX40" fmla="*/ 117389 w 1948248"/>
              <a:gd name="connsiteY40" fmla="*/ 177114 h 1140941"/>
              <a:gd name="connsiteX41" fmla="*/ 148281 w 1948248"/>
              <a:gd name="connsiteY41" fmla="*/ 195649 h 1140941"/>
              <a:gd name="connsiteX42" fmla="*/ 43248 w 1948248"/>
              <a:gd name="connsiteY42" fmla="*/ 183292 h 1140941"/>
              <a:gd name="connsiteX43" fmla="*/ 18535 w 1948248"/>
              <a:gd name="connsiteY43" fmla="*/ 212125 h 1140941"/>
              <a:gd name="connsiteX44" fmla="*/ 0 w 1948248"/>
              <a:gd name="connsiteY44" fmla="*/ 329514 h 1140941"/>
              <a:gd name="connsiteX45" fmla="*/ 22654 w 1948248"/>
              <a:gd name="connsiteY45" fmla="*/ 358346 h 1140941"/>
              <a:gd name="connsiteX46" fmla="*/ 61784 w 1948248"/>
              <a:gd name="connsiteY46" fmla="*/ 343930 h 1140941"/>
              <a:gd name="connsiteX47" fmla="*/ 88557 w 1948248"/>
              <a:gd name="connsiteY47" fmla="*/ 362465 h 1140941"/>
              <a:gd name="connsiteX48" fmla="*/ 249194 w 1948248"/>
              <a:gd name="connsiteY48" fmla="*/ 308919 h 1140941"/>
              <a:gd name="connsiteX49" fmla="*/ 189470 w 1948248"/>
              <a:gd name="connsiteY49" fmla="*/ 341871 h 1140941"/>
              <a:gd name="connsiteX50" fmla="*/ 191530 w 1948248"/>
              <a:gd name="connsiteY50" fmla="*/ 383060 h 1140941"/>
              <a:gd name="connsiteX51" fmla="*/ 269789 w 1948248"/>
              <a:gd name="connsiteY51" fmla="*/ 356287 h 1140941"/>
              <a:gd name="connsiteX52" fmla="*/ 265670 w 1948248"/>
              <a:gd name="connsiteY52" fmla="*/ 401595 h 1140941"/>
              <a:gd name="connsiteX53" fmla="*/ 292443 w 1948248"/>
              <a:gd name="connsiteY53" fmla="*/ 411892 h 1140941"/>
              <a:gd name="connsiteX54" fmla="*/ 282146 w 1948248"/>
              <a:gd name="connsiteY54" fmla="*/ 420130 h 1140941"/>
              <a:gd name="connsiteX55" fmla="*/ 323335 w 1948248"/>
              <a:gd name="connsiteY55" fmla="*/ 451022 h 1140941"/>
              <a:gd name="connsiteX56" fmla="*/ 261551 w 1948248"/>
              <a:gd name="connsiteY56" fmla="*/ 440725 h 1140941"/>
              <a:gd name="connsiteX57" fmla="*/ 245076 w 1948248"/>
              <a:gd name="connsiteY57" fmla="*/ 403654 h 1140941"/>
              <a:gd name="connsiteX58" fmla="*/ 199767 w 1948248"/>
              <a:gd name="connsiteY58" fmla="*/ 422190 h 1140941"/>
              <a:gd name="connsiteX59" fmla="*/ 127686 w 1948248"/>
              <a:gd name="connsiteY59" fmla="*/ 407773 h 1140941"/>
              <a:gd name="connsiteX60" fmla="*/ 102973 w 1948248"/>
              <a:gd name="connsiteY60" fmla="*/ 376881 h 1140941"/>
              <a:gd name="connsiteX61" fmla="*/ 86497 w 1948248"/>
              <a:gd name="connsiteY61" fmla="*/ 420130 h 1140941"/>
              <a:gd name="connsiteX62" fmla="*/ 115330 w 1948248"/>
              <a:gd name="connsiteY62" fmla="*/ 483973 h 1140941"/>
              <a:gd name="connsiteX63" fmla="*/ 137984 w 1948248"/>
              <a:gd name="connsiteY63" fmla="*/ 457200 h 1140941"/>
              <a:gd name="connsiteX64" fmla="*/ 168876 w 1948248"/>
              <a:gd name="connsiteY64" fmla="*/ 457200 h 1140941"/>
              <a:gd name="connsiteX65" fmla="*/ 238897 w 1948248"/>
              <a:gd name="connsiteY65" fmla="*/ 492211 h 1140941"/>
              <a:gd name="connsiteX66" fmla="*/ 251254 w 1948248"/>
              <a:gd name="connsiteY66" fmla="*/ 535460 h 1140941"/>
              <a:gd name="connsiteX67" fmla="*/ 236838 w 1948248"/>
              <a:gd name="connsiteY67" fmla="*/ 570471 h 1140941"/>
              <a:gd name="connsiteX68" fmla="*/ 201827 w 1948248"/>
              <a:gd name="connsiteY68" fmla="*/ 553995 h 1140941"/>
              <a:gd name="connsiteX69" fmla="*/ 47367 w 1948248"/>
              <a:gd name="connsiteY69" fmla="*/ 570471 h 1140941"/>
              <a:gd name="connsiteX70" fmla="*/ 22654 w 1948248"/>
              <a:gd name="connsiteY70" fmla="*/ 599303 h 1140941"/>
              <a:gd name="connsiteX71" fmla="*/ 144162 w 1948248"/>
              <a:gd name="connsiteY71" fmla="*/ 644611 h 1140941"/>
              <a:gd name="connsiteX72" fmla="*/ 193589 w 1948248"/>
              <a:gd name="connsiteY72" fmla="*/ 733168 h 1140941"/>
              <a:gd name="connsiteX73" fmla="*/ 181232 w 1948248"/>
              <a:gd name="connsiteY73" fmla="*/ 797011 h 1140941"/>
              <a:gd name="connsiteX74" fmla="*/ 269789 w 1948248"/>
              <a:gd name="connsiteY74" fmla="*/ 805249 h 1140941"/>
              <a:gd name="connsiteX75" fmla="*/ 321276 w 1948248"/>
              <a:gd name="connsiteY75" fmla="*/ 751703 h 1140941"/>
              <a:gd name="connsiteX76" fmla="*/ 306859 w 1948248"/>
              <a:gd name="connsiteY76" fmla="*/ 706395 h 1140941"/>
              <a:gd name="connsiteX77" fmla="*/ 329513 w 1948248"/>
              <a:gd name="connsiteY77" fmla="*/ 702276 h 1140941"/>
              <a:gd name="connsiteX78" fmla="*/ 319216 w 1948248"/>
              <a:gd name="connsiteY78" fmla="*/ 665206 h 1140941"/>
              <a:gd name="connsiteX79" fmla="*/ 360405 w 1948248"/>
              <a:gd name="connsiteY79" fmla="*/ 708454 h 1140941"/>
              <a:gd name="connsiteX80" fmla="*/ 339811 w 1948248"/>
              <a:gd name="connsiteY80" fmla="*/ 708454 h 1140941"/>
              <a:gd name="connsiteX81" fmla="*/ 317157 w 1948248"/>
              <a:gd name="connsiteY81" fmla="*/ 739346 h 1140941"/>
              <a:gd name="connsiteX82" fmla="*/ 345989 w 1948248"/>
              <a:gd name="connsiteY82" fmla="*/ 764060 h 1140941"/>
              <a:gd name="connsiteX83" fmla="*/ 409832 w 1948248"/>
              <a:gd name="connsiteY83" fmla="*/ 747584 h 1140941"/>
              <a:gd name="connsiteX84" fmla="*/ 465438 w 1948248"/>
              <a:gd name="connsiteY84" fmla="*/ 825844 h 1140941"/>
              <a:gd name="connsiteX85" fmla="*/ 498389 w 1948248"/>
              <a:gd name="connsiteY85" fmla="*/ 815546 h 1140941"/>
              <a:gd name="connsiteX86" fmla="*/ 506627 w 1948248"/>
              <a:gd name="connsiteY86" fmla="*/ 776417 h 1140941"/>
              <a:gd name="connsiteX87" fmla="*/ 510746 w 1948248"/>
              <a:gd name="connsiteY87" fmla="*/ 811427 h 1140941"/>
              <a:gd name="connsiteX88" fmla="*/ 549876 w 1948248"/>
              <a:gd name="connsiteY88" fmla="*/ 803190 h 1140941"/>
              <a:gd name="connsiteX89" fmla="*/ 539578 w 1948248"/>
              <a:gd name="connsiteY89" fmla="*/ 834081 h 1140941"/>
              <a:gd name="connsiteX90" fmla="*/ 568411 w 1948248"/>
              <a:gd name="connsiteY90" fmla="*/ 850557 h 1140941"/>
              <a:gd name="connsiteX91" fmla="*/ 611659 w 1948248"/>
              <a:gd name="connsiteY91" fmla="*/ 829963 h 1140941"/>
              <a:gd name="connsiteX92" fmla="*/ 624016 w 1948248"/>
              <a:gd name="connsiteY92" fmla="*/ 786714 h 1140941"/>
              <a:gd name="connsiteX93" fmla="*/ 630194 w 1948248"/>
              <a:gd name="connsiteY93" fmla="*/ 887627 h 1140941"/>
              <a:gd name="connsiteX94" fmla="*/ 663146 w 1948248"/>
              <a:gd name="connsiteY94" fmla="*/ 910281 h 1140941"/>
              <a:gd name="connsiteX95" fmla="*/ 698157 w 1948248"/>
              <a:gd name="connsiteY95" fmla="*/ 887627 h 1140941"/>
              <a:gd name="connsiteX96" fmla="*/ 689919 w 1948248"/>
              <a:gd name="connsiteY96" fmla="*/ 807308 h 1140941"/>
              <a:gd name="connsiteX97" fmla="*/ 702276 w 1948248"/>
              <a:gd name="connsiteY97" fmla="*/ 856735 h 1140941"/>
              <a:gd name="connsiteX98" fmla="*/ 739346 w 1948248"/>
              <a:gd name="connsiteY98" fmla="*/ 860854 h 1140941"/>
              <a:gd name="connsiteX99" fmla="*/ 710513 w 1948248"/>
              <a:gd name="connsiteY99" fmla="*/ 889687 h 1140941"/>
              <a:gd name="connsiteX100" fmla="*/ 720811 w 1948248"/>
              <a:gd name="connsiteY100" fmla="*/ 920579 h 1140941"/>
              <a:gd name="connsiteX101" fmla="*/ 768178 w 1948248"/>
              <a:gd name="connsiteY101" fmla="*/ 941173 h 1140941"/>
              <a:gd name="connsiteX102" fmla="*/ 807308 w 1948248"/>
              <a:gd name="connsiteY102" fmla="*/ 926757 h 1140941"/>
              <a:gd name="connsiteX103" fmla="*/ 776416 w 1948248"/>
              <a:gd name="connsiteY103" fmla="*/ 957649 h 1140941"/>
              <a:gd name="connsiteX104" fmla="*/ 782594 w 1948248"/>
              <a:gd name="connsiteY104" fmla="*/ 976184 h 1140941"/>
              <a:gd name="connsiteX105" fmla="*/ 805248 w 1948248"/>
              <a:gd name="connsiteY105" fmla="*/ 1013254 h 1140941"/>
              <a:gd name="connsiteX106" fmla="*/ 797011 w 1948248"/>
              <a:gd name="connsiteY106" fmla="*/ 1060622 h 1140941"/>
              <a:gd name="connsiteX107" fmla="*/ 832021 w 1948248"/>
              <a:gd name="connsiteY107" fmla="*/ 1099752 h 1140941"/>
              <a:gd name="connsiteX108" fmla="*/ 813486 w 1948248"/>
              <a:gd name="connsiteY108" fmla="*/ 1052384 h 1140941"/>
              <a:gd name="connsiteX109" fmla="*/ 846438 w 1948248"/>
              <a:gd name="connsiteY109" fmla="*/ 1025611 h 1140941"/>
              <a:gd name="connsiteX110" fmla="*/ 877330 w 1948248"/>
              <a:gd name="connsiteY110" fmla="*/ 1011195 h 1140941"/>
              <a:gd name="connsiteX111" fmla="*/ 912340 w 1948248"/>
              <a:gd name="connsiteY111" fmla="*/ 1033849 h 1140941"/>
              <a:gd name="connsiteX112" fmla="*/ 897924 w 1948248"/>
              <a:gd name="connsiteY112" fmla="*/ 965887 h 1140941"/>
              <a:gd name="connsiteX113" fmla="*/ 937054 w 1948248"/>
              <a:gd name="connsiteY113" fmla="*/ 1021492 h 1140941"/>
              <a:gd name="connsiteX114" fmla="*/ 957648 w 1948248"/>
              <a:gd name="connsiteY114" fmla="*/ 994719 h 1140941"/>
              <a:gd name="connsiteX115" fmla="*/ 1009135 w 1948248"/>
              <a:gd name="connsiteY115" fmla="*/ 1002957 h 1140941"/>
              <a:gd name="connsiteX116" fmla="*/ 1031789 w 1948248"/>
              <a:gd name="connsiteY116" fmla="*/ 1033849 h 1140941"/>
              <a:gd name="connsiteX117" fmla="*/ 1000897 w 1948248"/>
              <a:gd name="connsiteY117" fmla="*/ 1062681 h 1140941"/>
              <a:gd name="connsiteX118" fmla="*/ 920578 w 1948248"/>
              <a:gd name="connsiteY118" fmla="*/ 1052384 h 1140941"/>
              <a:gd name="connsiteX119" fmla="*/ 986481 w 1948248"/>
              <a:gd name="connsiteY119" fmla="*/ 1099752 h 1140941"/>
              <a:gd name="connsiteX120" fmla="*/ 1145059 w 1948248"/>
              <a:gd name="connsiteY120" fmla="*/ 1083276 h 1140941"/>
              <a:gd name="connsiteX121" fmla="*/ 1182130 w 1948248"/>
              <a:gd name="connsiteY121" fmla="*/ 1105930 h 1140941"/>
              <a:gd name="connsiteX122" fmla="*/ 1140940 w 1948248"/>
              <a:gd name="connsiteY122" fmla="*/ 1114168 h 1140941"/>
              <a:gd name="connsiteX123" fmla="*/ 1161535 w 1948248"/>
              <a:gd name="connsiteY123" fmla="*/ 1140941 h 1140941"/>
              <a:gd name="connsiteX124" fmla="*/ 1367481 w 1948248"/>
              <a:gd name="connsiteY124" fmla="*/ 1081217 h 1140941"/>
              <a:gd name="connsiteX125" fmla="*/ 1369540 w 1948248"/>
              <a:gd name="connsiteY125" fmla="*/ 1013254 h 1140941"/>
              <a:gd name="connsiteX126" fmla="*/ 1435443 w 1948248"/>
              <a:gd name="connsiteY126" fmla="*/ 961768 h 1140941"/>
              <a:gd name="connsiteX127" fmla="*/ 1608438 w 1948248"/>
              <a:gd name="connsiteY127" fmla="*/ 963827 h 1140941"/>
              <a:gd name="connsiteX128" fmla="*/ 1620794 w 1948248"/>
              <a:gd name="connsiteY128" fmla="*/ 926757 h 1140941"/>
              <a:gd name="connsiteX129" fmla="*/ 1736124 w 1948248"/>
              <a:gd name="connsiteY129" fmla="*/ 871152 h 1140941"/>
              <a:gd name="connsiteX130" fmla="*/ 1828800 w 1948248"/>
              <a:gd name="connsiteY130" fmla="*/ 916460 h 1140941"/>
              <a:gd name="connsiteX131" fmla="*/ 1832919 w 1948248"/>
              <a:gd name="connsiteY131" fmla="*/ 885568 h 1140941"/>
              <a:gd name="connsiteX132" fmla="*/ 1878227 w 1948248"/>
              <a:gd name="connsiteY132" fmla="*/ 776417 h 1140941"/>
              <a:gd name="connsiteX133" fmla="*/ 1948248 w 1948248"/>
              <a:gd name="connsiteY133" fmla="*/ 749644 h 1140941"/>
              <a:gd name="connsiteX134" fmla="*/ 1921476 w 1948248"/>
              <a:gd name="connsiteY134" fmla="*/ 535460 h 1140941"/>
              <a:gd name="connsiteX135" fmla="*/ 1940011 w 1948248"/>
              <a:gd name="connsiteY135" fmla="*/ 498390 h 1140941"/>
              <a:gd name="connsiteX136" fmla="*/ 1946189 w 1948248"/>
              <a:gd name="connsiteY136" fmla="*/ 339811 h 1140941"/>
              <a:gd name="connsiteX137" fmla="*/ 1869989 w 1948248"/>
              <a:gd name="connsiteY137" fmla="*/ 313038 h 1140941"/>
              <a:gd name="connsiteX138" fmla="*/ 1767016 w 1948248"/>
              <a:gd name="connsiteY138" fmla="*/ 372763 h 1140941"/>
              <a:gd name="connsiteX139" fmla="*/ 1740243 w 1948248"/>
              <a:gd name="connsiteY139" fmla="*/ 352168 h 1140941"/>
              <a:gd name="connsiteX140" fmla="*/ 1676400 w 1948248"/>
              <a:gd name="connsiteY140" fmla="*/ 240957 h 114094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 ang="0">
                <a:pos x="connsiteX123" y="connsiteY123"/>
              </a:cxn>
              <a:cxn ang="0">
                <a:pos x="connsiteX124" y="connsiteY124"/>
              </a:cxn>
              <a:cxn ang="0">
                <a:pos x="connsiteX125" y="connsiteY125"/>
              </a:cxn>
              <a:cxn ang="0">
                <a:pos x="connsiteX126" y="connsiteY126"/>
              </a:cxn>
              <a:cxn ang="0">
                <a:pos x="connsiteX127" y="connsiteY127"/>
              </a:cxn>
              <a:cxn ang="0">
                <a:pos x="connsiteX128" y="connsiteY128"/>
              </a:cxn>
              <a:cxn ang="0">
                <a:pos x="connsiteX129" y="connsiteY129"/>
              </a:cxn>
              <a:cxn ang="0">
                <a:pos x="connsiteX130" y="connsiteY130"/>
              </a:cxn>
              <a:cxn ang="0">
                <a:pos x="connsiteX131" y="connsiteY131"/>
              </a:cxn>
              <a:cxn ang="0">
                <a:pos x="connsiteX132" y="connsiteY132"/>
              </a:cxn>
              <a:cxn ang="0">
                <a:pos x="connsiteX133" y="connsiteY133"/>
              </a:cxn>
              <a:cxn ang="0">
                <a:pos x="connsiteX134" y="connsiteY134"/>
              </a:cxn>
              <a:cxn ang="0">
                <a:pos x="connsiteX135" y="connsiteY135"/>
              </a:cxn>
              <a:cxn ang="0">
                <a:pos x="connsiteX136" y="connsiteY136"/>
              </a:cxn>
              <a:cxn ang="0">
                <a:pos x="connsiteX137" y="connsiteY137"/>
              </a:cxn>
              <a:cxn ang="0">
                <a:pos x="connsiteX138" y="connsiteY138"/>
              </a:cxn>
              <a:cxn ang="0">
                <a:pos x="connsiteX139" y="connsiteY139"/>
              </a:cxn>
              <a:cxn ang="0">
                <a:pos x="connsiteX140" y="connsiteY140"/>
              </a:cxn>
            </a:cxnLst>
            <a:rect l="l" t="t" r="r" b="b"/>
            <a:pathLst>
              <a:path w="1948248" h="1140941">
                <a:moveTo>
                  <a:pt x="1676400" y="240957"/>
                </a:moveTo>
                <a:lnTo>
                  <a:pt x="1536357" y="243017"/>
                </a:lnTo>
                <a:lnTo>
                  <a:pt x="1540476" y="170935"/>
                </a:lnTo>
                <a:lnTo>
                  <a:pt x="1493108" y="183292"/>
                </a:lnTo>
                <a:lnTo>
                  <a:pt x="1453978" y="228600"/>
                </a:lnTo>
                <a:lnTo>
                  <a:pt x="1476632" y="302741"/>
                </a:lnTo>
                <a:lnTo>
                  <a:pt x="1447800" y="271849"/>
                </a:lnTo>
                <a:lnTo>
                  <a:pt x="1435443" y="224481"/>
                </a:lnTo>
                <a:lnTo>
                  <a:pt x="1398373" y="224481"/>
                </a:lnTo>
                <a:lnTo>
                  <a:pt x="1394254" y="247135"/>
                </a:lnTo>
                <a:lnTo>
                  <a:pt x="1346886" y="249195"/>
                </a:lnTo>
                <a:lnTo>
                  <a:pt x="1330411" y="214184"/>
                </a:lnTo>
                <a:lnTo>
                  <a:pt x="1289221" y="224481"/>
                </a:lnTo>
                <a:lnTo>
                  <a:pt x="1280984" y="195649"/>
                </a:lnTo>
                <a:lnTo>
                  <a:pt x="1229497" y="199768"/>
                </a:lnTo>
                <a:lnTo>
                  <a:pt x="1095632" y="315098"/>
                </a:lnTo>
                <a:lnTo>
                  <a:pt x="1085335" y="263611"/>
                </a:lnTo>
                <a:lnTo>
                  <a:pt x="1037967" y="236838"/>
                </a:lnTo>
                <a:lnTo>
                  <a:pt x="1033848" y="193590"/>
                </a:lnTo>
                <a:lnTo>
                  <a:pt x="974124" y="88557"/>
                </a:lnTo>
                <a:lnTo>
                  <a:pt x="934994" y="84438"/>
                </a:lnTo>
                <a:lnTo>
                  <a:pt x="949411" y="43249"/>
                </a:lnTo>
                <a:lnTo>
                  <a:pt x="906162" y="53546"/>
                </a:lnTo>
                <a:lnTo>
                  <a:pt x="885567" y="90617"/>
                </a:lnTo>
                <a:lnTo>
                  <a:pt x="904103" y="0"/>
                </a:lnTo>
                <a:lnTo>
                  <a:pt x="846438" y="45308"/>
                </a:lnTo>
                <a:lnTo>
                  <a:pt x="834081" y="2060"/>
                </a:lnTo>
                <a:lnTo>
                  <a:pt x="722870" y="51487"/>
                </a:lnTo>
                <a:lnTo>
                  <a:pt x="706394" y="20595"/>
                </a:lnTo>
                <a:lnTo>
                  <a:pt x="646670" y="70022"/>
                </a:lnTo>
                <a:lnTo>
                  <a:pt x="646670" y="144163"/>
                </a:lnTo>
                <a:lnTo>
                  <a:pt x="597243" y="152400"/>
                </a:lnTo>
                <a:lnTo>
                  <a:pt x="531340" y="107092"/>
                </a:lnTo>
                <a:lnTo>
                  <a:pt x="500448" y="119449"/>
                </a:lnTo>
                <a:lnTo>
                  <a:pt x="496330" y="166817"/>
                </a:lnTo>
                <a:lnTo>
                  <a:pt x="469557" y="131806"/>
                </a:lnTo>
                <a:lnTo>
                  <a:pt x="453081" y="164757"/>
                </a:lnTo>
                <a:lnTo>
                  <a:pt x="444843" y="84438"/>
                </a:lnTo>
                <a:lnTo>
                  <a:pt x="259492" y="144163"/>
                </a:lnTo>
                <a:lnTo>
                  <a:pt x="247135" y="113271"/>
                </a:lnTo>
                <a:lnTo>
                  <a:pt x="117389" y="177114"/>
                </a:lnTo>
                <a:lnTo>
                  <a:pt x="148281" y="195649"/>
                </a:lnTo>
                <a:lnTo>
                  <a:pt x="43248" y="183292"/>
                </a:lnTo>
                <a:lnTo>
                  <a:pt x="18535" y="212125"/>
                </a:lnTo>
                <a:lnTo>
                  <a:pt x="0" y="329514"/>
                </a:lnTo>
                <a:lnTo>
                  <a:pt x="22654" y="358346"/>
                </a:lnTo>
                <a:lnTo>
                  <a:pt x="61784" y="343930"/>
                </a:lnTo>
                <a:lnTo>
                  <a:pt x="88557" y="362465"/>
                </a:lnTo>
                <a:lnTo>
                  <a:pt x="249194" y="308919"/>
                </a:lnTo>
                <a:lnTo>
                  <a:pt x="189470" y="341871"/>
                </a:lnTo>
                <a:lnTo>
                  <a:pt x="191530" y="383060"/>
                </a:lnTo>
                <a:lnTo>
                  <a:pt x="269789" y="356287"/>
                </a:lnTo>
                <a:lnTo>
                  <a:pt x="265670" y="401595"/>
                </a:lnTo>
                <a:lnTo>
                  <a:pt x="292443" y="411892"/>
                </a:lnTo>
                <a:lnTo>
                  <a:pt x="282146" y="420130"/>
                </a:lnTo>
                <a:lnTo>
                  <a:pt x="323335" y="451022"/>
                </a:lnTo>
                <a:lnTo>
                  <a:pt x="261551" y="440725"/>
                </a:lnTo>
                <a:lnTo>
                  <a:pt x="245076" y="403654"/>
                </a:lnTo>
                <a:lnTo>
                  <a:pt x="199767" y="422190"/>
                </a:lnTo>
                <a:lnTo>
                  <a:pt x="127686" y="407773"/>
                </a:lnTo>
                <a:lnTo>
                  <a:pt x="102973" y="376881"/>
                </a:lnTo>
                <a:lnTo>
                  <a:pt x="86497" y="420130"/>
                </a:lnTo>
                <a:lnTo>
                  <a:pt x="115330" y="483973"/>
                </a:lnTo>
                <a:lnTo>
                  <a:pt x="137984" y="457200"/>
                </a:lnTo>
                <a:lnTo>
                  <a:pt x="168876" y="457200"/>
                </a:lnTo>
                <a:lnTo>
                  <a:pt x="238897" y="492211"/>
                </a:lnTo>
                <a:lnTo>
                  <a:pt x="251254" y="535460"/>
                </a:lnTo>
                <a:lnTo>
                  <a:pt x="236838" y="570471"/>
                </a:lnTo>
                <a:lnTo>
                  <a:pt x="201827" y="553995"/>
                </a:lnTo>
                <a:lnTo>
                  <a:pt x="47367" y="570471"/>
                </a:lnTo>
                <a:lnTo>
                  <a:pt x="22654" y="599303"/>
                </a:lnTo>
                <a:lnTo>
                  <a:pt x="144162" y="644611"/>
                </a:lnTo>
                <a:lnTo>
                  <a:pt x="193589" y="733168"/>
                </a:lnTo>
                <a:lnTo>
                  <a:pt x="181232" y="797011"/>
                </a:lnTo>
                <a:lnTo>
                  <a:pt x="269789" y="805249"/>
                </a:lnTo>
                <a:lnTo>
                  <a:pt x="321276" y="751703"/>
                </a:lnTo>
                <a:lnTo>
                  <a:pt x="306859" y="706395"/>
                </a:lnTo>
                <a:lnTo>
                  <a:pt x="329513" y="702276"/>
                </a:lnTo>
                <a:lnTo>
                  <a:pt x="319216" y="665206"/>
                </a:lnTo>
                <a:lnTo>
                  <a:pt x="360405" y="708454"/>
                </a:lnTo>
                <a:lnTo>
                  <a:pt x="339811" y="708454"/>
                </a:lnTo>
                <a:lnTo>
                  <a:pt x="317157" y="739346"/>
                </a:lnTo>
                <a:lnTo>
                  <a:pt x="345989" y="764060"/>
                </a:lnTo>
                <a:lnTo>
                  <a:pt x="409832" y="747584"/>
                </a:lnTo>
                <a:lnTo>
                  <a:pt x="465438" y="825844"/>
                </a:lnTo>
                <a:lnTo>
                  <a:pt x="498389" y="815546"/>
                </a:lnTo>
                <a:lnTo>
                  <a:pt x="506627" y="776417"/>
                </a:lnTo>
                <a:lnTo>
                  <a:pt x="510746" y="811427"/>
                </a:lnTo>
                <a:lnTo>
                  <a:pt x="549876" y="803190"/>
                </a:lnTo>
                <a:lnTo>
                  <a:pt x="539578" y="834081"/>
                </a:lnTo>
                <a:lnTo>
                  <a:pt x="568411" y="850557"/>
                </a:lnTo>
                <a:lnTo>
                  <a:pt x="611659" y="829963"/>
                </a:lnTo>
                <a:lnTo>
                  <a:pt x="624016" y="786714"/>
                </a:lnTo>
                <a:lnTo>
                  <a:pt x="630194" y="887627"/>
                </a:lnTo>
                <a:lnTo>
                  <a:pt x="663146" y="910281"/>
                </a:lnTo>
                <a:lnTo>
                  <a:pt x="698157" y="887627"/>
                </a:lnTo>
                <a:lnTo>
                  <a:pt x="689919" y="807308"/>
                </a:lnTo>
                <a:lnTo>
                  <a:pt x="702276" y="856735"/>
                </a:lnTo>
                <a:lnTo>
                  <a:pt x="739346" y="860854"/>
                </a:lnTo>
                <a:lnTo>
                  <a:pt x="710513" y="889687"/>
                </a:lnTo>
                <a:lnTo>
                  <a:pt x="720811" y="920579"/>
                </a:lnTo>
                <a:lnTo>
                  <a:pt x="768178" y="941173"/>
                </a:lnTo>
                <a:lnTo>
                  <a:pt x="807308" y="926757"/>
                </a:lnTo>
                <a:lnTo>
                  <a:pt x="776416" y="957649"/>
                </a:lnTo>
                <a:lnTo>
                  <a:pt x="782594" y="976184"/>
                </a:lnTo>
                <a:lnTo>
                  <a:pt x="805248" y="1013254"/>
                </a:lnTo>
                <a:lnTo>
                  <a:pt x="797011" y="1060622"/>
                </a:lnTo>
                <a:lnTo>
                  <a:pt x="832021" y="1099752"/>
                </a:lnTo>
                <a:lnTo>
                  <a:pt x="813486" y="1052384"/>
                </a:lnTo>
                <a:lnTo>
                  <a:pt x="846438" y="1025611"/>
                </a:lnTo>
                <a:lnTo>
                  <a:pt x="877330" y="1011195"/>
                </a:lnTo>
                <a:lnTo>
                  <a:pt x="912340" y="1033849"/>
                </a:lnTo>
                <a:lnTo>
                  <a:pt x="897924" y="965887"/>
                </a:lnTo>
                <a:lnTo>
                  <a:pt x="937054" y="1021492"/>
                </a:lnTo>
                <a:lnTo>
                  <a:pt x="957648" y="994719"/>
                </a:lnTo>
                <a:lnTo>
                  <a:pt x="1009135" y="1002957"/>
                </a:lnTo>
                <a:lnTo>
                  <a:pt x="1031789" y="1033849"/>
                </a:lnTo>
                <a:lnTo>
                  <a:pt x="1000897" y="1062681"/>
                </a:lnTo>
                <a:lnTo>
                  <a:pt x="920578" y="1052384"/>
                </a:lnTo>
                <a:lnTo>
                  <a:pt x="986481" y="1099752"/>
                </a:lnTo>
                <a:lnTo>
                  <a:pt x="1145059" y="1083276"/>
                </a:lnTo>
                <a:lnTo>
                  <a:pt x="1182130" y="1105930"/>
                </a:lnTo>
                <a:lnTo>
                  <a:pt x="1140940" y="1114168"/>
                </a:lnTo>
                <a:lnTo>
                  <a:pt x="1161535" y="1140941"/>
                </a:lnTo>
                <a:lnTo>
                  <a:pt x="1367481" y="1081217"/>
                </a:lnTo>
                <a:cubicBezTo>
                  <a:pt x="1368167" y="1058563"/>
                  <a:pt x="1368854" y="1035908"/>
                  <a:pt x="1369540" y="1013254"/>
                </a:cubicBezTo>
                <a:lnTo>
                  <a:pt x="1435443" y="961768"/>
                </a:lnTo>
                <a:lnTo>
                  <a:pt x="1608438" y="963827"/>
                </a:lnTo>
                <a:lnTo>
                  <a:pt x="1620794" y="926757"/>
                </a:lnTo>
                <a:lnTo>
                  <a:pt x="1736124" y="871152"/>
                </a:lnTo>
                <a:lnTo>
                  <a:pt x="1828800" y="916460"/>
                </a:lnTo>
                <a:lnTo>
                  <a:pt x="1832919" y="885568"/>
                </a:lnTo>
                <a:lnTo>
                  <a:pt x="1878227" y="776417"/>
                </a:lnTo>
                <a:lnTo>
                  <a:pt x="1948248" y="749644"/>
                </a:lnTo>
                <a:lnTo>
                  <a:pt x="1921476" y="535460"/>
                </a:lnTo>
                <a:lnTo>
                  <a:pt x="1940011" y="498390"/>
                </a:lnTo>
                <a:lnTo>
                  <a:pt x="1946189" y="339811"/>
                </a:lnTo>
                <a:lnTo>
                  <a:pt x="1869989" y="313038"/>
                </a:lnTo>
                <a:lnTo>
                  <a:pt x="1767016" y="372763"/>
                </a:lnTo>
                <a:lnTo>
                  <a:pt x="1740243" y="352168"/>
                </a:lnTo>
                <a:lnTo>
                  <a:pt x="1676400" y="240957"/>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30" name="Normandie">
            <a:extLst>
              <a:ext uri="{FF2B5EF4-FFF2-40B4-BE49-F238E27FC236}">
                <a16:creationId xmlns:a16="http://schemas.microsoft.com/office/drawing/2014/main" id="{00000000-0008-0000-0100-00004A010000}"/>
              </a:ext>
            </a:extLst>
          </xdr:cNvPr>
          <xdr:cNvSpPr/>
        </xdr:nvSpPr>
        <xdr:spPr>
          <a:xfrm>
            <a:off x="2550583" y="2022701"/>
            <a:ext cx="2084016" cy="1417049"/>
          </a:xfrm>
          <a:custGeom>
            <a:avLst/>
            <a:gdLst>
              <a:gd name="connsiteX0" fmla="*/ 1684866 w 1900766"/>
              <a:gd name="connsiteY0" fmla="*/ 0 h 1452033"/>
              <a:gd name="connsiteX1" fmla="*/ 1553633 w 1900766"/>
              <a:gd name="connsiteY1" fmla="*/ 101600 h 1452033"/>
              <a:gd name="connsiteX2" fmla="*/ 1426633 w 1900766"/>
              <a:gd name="connsiteY2" fmla="*/ 127000 h 1452033"/>
              <a:gd name="connsiteX3" fmla="*/ 1265766 w 1900766"/>
              <a:gd name="connsiteY3" fmla="*/ 165100 h 1452033"/>
              <a:gd name="connsiteX4" fmla="*/ 1092200 w 1900766"/>
              <a:gd name="connsiteY4" fmla="*/ 266700 h 1452033"/>
              <a:gd name="connsiteX5" fmla="*/ 1020233 w 1900766"/>
              <a:gd name="connsiteY5" fmla="*/ 410633 h 1452033"/>
              <a:gd name="connsiteX6" fmla="*/ 1028700 w 1900766"/>
              <a:gd name="connsiteY6" fmla="*/ 444500 h 1452033"/>
              <a:gd name="connsiteX7" fmla="*/ 1164166 w 1900766"/>
              <a:gd name="connsiteY7" fmla="*/ 486833 h 1452033"/>
              <a:gd name="connsiteX8" fmla="*/ 1045633 w 1900766"/>
              <a:gd name="connsiteY8" fmla="*/ 499533 h 1452033"/>
              <a:gd name="connsiteX9" fmla="*/ 973666 w 1900766"/>
              <a:gd name="connsiteY9" fmla="*/ 558800 h 1452033"/>
              <a:gd name="connsiteX10" fmla="*/ 859366 w 1900766"/>
              <a:gd name="connsiteY10" fmla="*/ 596900 h 1452033"/>
              <a:gd name="connsiteX11" fmla="*/ 757766 w 1900766"/>
              <a:gd name="connsiteY11" fmla="*/ 546100 h 1452033"/>
              <a:gd name="connsiteX12" fmla="*/ 596900 w 1900766"/>
              <a:gd name="connsiteY12" fmla="*/ 533400 h 1452033"/>
              <a:gd name="connsiteX13" fmla="*/ 465666 w 1900766"/>
              <a:gd name="connsiteY13" fmla="*/ 482600 h 1452033"/>
              <a:gd name="connsiteX14" fmla="*/ 410633 w 1900766"/>
              <a:gd name="connsiteY14" fmla="*/ 516467 h 1452033"/>
              <a:gd name="connsiteX15" fmla="*/ 330200 w 1900766"/>
              <a:gd name="connsiteY15" fmla="*/ 385233 h 1452033"/>
              <a:gd name="connsiteX16" fmla="*/ 359833 w 1900766"/>
              <a:gd name="connsiteY16" fmla="*/ 279400 h 1452033"/>
              <a:gd name="connsiteX17" fmla="*/ 347133 w 1900766"/>
              <a:gd name="connsiteY17" fmla="*/ 249767 h 1452033"/>
              <a:gd name="connsiteX18" fmla="*/ 258233 w 1900766"/>
              <a:gd name="connsiteY18" fmla="*/ 241300 h 1452033"/>
              <a:gd name="connsiteX19" fmla="*/ 211666 w 1900766"/>
              <a:gd name="connsiteY19" fmla="*/ 279400 h 1452033"/>
              <a:gd name="connsiteX20" fmla="*/ 143933 w 1900766"/>
              <a:gd name="connsiteY20" fmla="*/ 266700 h 1452033"/>
              <a:gd name="connsiteX21" fmla="*/ 0 w 1900766"/>
              <a:gd name="connsiteY21" fmla="*/ 215900 h 1452033"/>
              <a:gd name="connsiteX22" fmla="*/ 4233 w 1900766"/>
              <a:gd name="connsiteY22" fmla="*/ 249767 h 1452033"/>
              <a:gd name="connsiteX23" fmla="*/ 46566 w 1900766"/>
              <a:gd name="connsiteY23" fmla="*/ 270933 h 1452033"/>
              <a:gd name="connsiteX24" fmla="*/ 50800 w 1900766"/>
              <a:gd name="connsiteY24" fmla="*/ 330200 h 1452033"/>
              <a:gd name="connsiteX25" fmla="*/ 29633 w 1900766"/>
              <a:gd name="connsiteY25" fmla="*/ 359833 h 1452033"/>
              <a:gd name="connsiteX26" fmla="*/ 63500 w 1900766"/>
              <a:gd name="connsiteY26" fmla="*/ 495300 h 1452033"/>
              <a:gd name="connsiteX27" fmla="*/ 169333 w 1900766"/>
              <a:gd name="connsiteY27" fmla="*/ 605367 h 1452033"/>
              <a:gd name="connsiteX28" fmla="*/ 143933 w 1900766"/>
              <a:gd name="connsiteY28" fmla="*/ 728133 h 1452033"/>
              <a:gd name="connsiteX29" fmla="*/ 173566 w 1900766"/>
              <a:gd name="connsiteY29" fmla="*/ 762000 h 1452033"/>
              <a:gd name="connsiteX30" fmla="*/ 160866 w 1900766"/>
              <a:gd name="connsiteY30" fmla="*/ 838200 h 1452033"/>
              <a:gd name="connsiteX31" fmla="*/ 139700 w 1900766"/>
              <a:gd name="connsiteY31" fmla="*/ 905933 h 1452033"/>
              <a:gd name="connsiteX32" fmla="*/ 190500 w 1900766"/>
              <a:gd name="connsiteY32" fmla="*/ 1028700 h 1452033"/>
              <a:gd name="connsiteX33" fmla="*/ 190500 w 1900766"/>
              <a:gd name="connsiteY33" fmla="*/ 1028700 h 1452033"/>
              <a:gd name="connsiteX34" fmla="*/ 232833 w 1900766"/>
              <a:gd name="connsiteY34" fmla="*/ 1049867 h 1452033"/>
              <a:gd name="connsiteX35" fmla="*/ 258233 w 1900766"/>
              <a:gd name="connsiteY35" fmla="*/ 1032933 h 1452033"/>
              <a:gd name="connsiteX36" fmla="*/ 237066 w 1900766"/>
              <a:gd name="connsiteY36" fmla="*/ 1071033 h 1452033"/>
              <a:gd name="connsiteX37" fmla="*/ 156633 w 1900766"/>
              <a:gd name="connsiteY37" fmla="*/ 1071033 h 1452033"/>
              <a:gd name="connsiteX38" fmla="*/ 215900 w 1900766"/>
              <a:gd name="connsiteY38" fmla="*/ 1185333 h 1452033"/>
              <a:gd name="connsiteX39" fmla="*/ 245533 w 1900766"/>
              <a:gd name="connsiteY39" fmla="*/ 1210733 h 1452033"/>
              <a:gd name="connsiteX40" fmla="*/ 347133 w 1900766"/>
              <a:gd name="connsiteY40" fmla="*/ 1143000 h 1452033"/>
              <a:gd name="connsiteX41" fmla="*/ 410633 w 1900766"/>
              <a:gd name="connsiteY41" fmla="*/ 1172633 h 1452033"/>
              <a:gd name="connsiteX42" fmla="*/ 512233 w 1900766"/>
              <a:gd name="connsiteY42" fmla="*/ 1181100 h 1452033"/>
              <a:gd name="connsiteX43" fmla="*/ 567266 w 1900766"/>
              <a:gd name="connsiteY43" fmla="*/ 1231900 h 1452033"/>
              <a:gd name="connsiteX44" fmla="*/ 596900 w 1900766"/>
              <a:gd name="connsiteY44" fmla="*/ 1210733 h 1452033"/>
              <a:gd name="connsiteX45" fmla="*/ 639233 w 1900766"/>
              <a:gd name="connsiteY45" fmla="*/ 1231900 h 1452033"/>
              <a:gd name="connsiteX46" fmla="*/ 715433 w 1900766"/>
              <a:gd name="connsiteY46" fmla="*/ 1189567 h 1452033"/>
              <a:gd name="connsiteX47" fmla="*/ 829733 w 1900766"/>
              <a:gd name="connsiteY47" fmla="*/ 1193800 h 1452033"/>
              <a:gd name="connsiteX48" fmla="*/ 838200 w 1900766"/>
              <a:gd name="connsiteY48" fmla="*/ 1164167 h 1452033"/>
              <a:gd name="connsiteX49" fmla="*/ 872066 w 1900766"/>
              <a:gd name="connsiteY49" fmla="*/ 1164167 h 1452033"/>
              <a:gd name="connsiteX50" fmla="*/ 889000 w 1900766"/>
              <a:gd name="connsiteY50" fmla="*/ 1227667 h 1452033"/>
              <a:gd name="connsiteX51" fmla="*/ 927100 w 1900766"/>
              <a:gd name="connsiteY51" fmla="*/ 1248833 h 1452033"/>
              <a:gd name="connsiteX52" fmla="*/ 939800 w 1900766"/>
              <a:gd name="connsiteY52" fmla="*/ 1291167 h 1452033"/>
              <a:gd name="connsiteX53" fmla="*/ 944033 w 1900766"/>
              <a:gd name="connsiteY53" fmla="*/ 1299633 h 1452033"/>
              <a:gd name="connsiteX54" fmla="*/ 977900 w 1900766"/>
              <a:gd name="connsiteY54" fmla="*/ 1291167 h 1452033"/>
              <a:gd name="connsiteX55" fmla="*/ 1109133 w 1900766"/>
              <a:gd name="connsiteY55" fmla="*/ 1223433 h 1452033"/>
              <a:gd name="connsiteX56" fmla="*/ 1155700 w 1900766"/>
              <a:gd name="connsiteY56" fmla="*/ 1240367 h 1452033"/>
              <a:gd name="connsiteX57" fmla="*/ 1164166 w 1900766"/>
              <a:gd name="connsiteY57" fmla="*/ 1346200 h 1452033"/>
              <a:gd name="connsiteX58" fmla="*/ 1261533 w 1900766"/>
              <a:gd name="connsiteY58" fmla="*/ 1413933 h 1452033"/>
              <a:gd name="connsiteX59" fmla="*/ 1303866 w 1900766"/>
              <a:gd name="connsiteY59" fmla="*/ 1397000 h 1452033"/>
              <a:gd name="connsiteX60" fmla="*/ 1333500 w 1900766"/>
              <a:gd name="connsiteY60" fmla="*/ 1443567 h 1452033"/>
              <a:gd name="connsiteX61" fmla="*/ 1371600 w 1900766"/>
              <a:gd name="connsiteY61" fmla="*/ 1452033 h 1452033"/>
              <a:gd name="connsiteX62" fmla="*/ 1371600 w 1900766"/>
              <a:gd name="connsiteY62" fmla="*/ 1452033 h 1452033"/>
              <a:gd name="connsiteX63" fmla="*/ 1358900 w 1900766"/>
              <a:gd name="connsiteY63" fmla="*/ 1346200 h 1452033"/>
              <a:gd name="connsiteX64" fmla="*/ 1452033 w 1900766"/>
              <a:gd name="connsiteY64" fmla="*/ 1299633 h 1452033"/>
              <a:gd name="connsiteX65" fmla="*/ 1452033 w 1900766"/>
              <a:gd name="connsiteY65" fmla="*/ 1189567 h 1452033"/>
              <a:gd name="connsiteX66" fmla="*/ 1452033 w 1900766"/>
              <a:gd name="connsiteY66" fmla="*/ 1172633 h 1452033"/>
              <a:gd name="connsiteX67" fmla="*/ 1397000 w 1900766"/>
              <a:gd name="connsiteY67" fmla="*/ 1117600 h 1452033"/>
              <a:gd name="connsiteX68" fmla="*/ 1392766 w 1900766"/>
              <a:gd name="connsiteY68" fmla="*/ 1075267 h 1452033"/>
              <a:gd name="connsiteX69" fmla="*/ 1418166 w 1900766"/>
              <a:gd name="connsiteY69" fmla="*/ 1041400 h 1452033"/>
              <a:gd name="connsiteX70" fmla="*/ 1494366 w 1900766"/>
              <a:gd name="connsiteY70" fmla="*/ 1037167 h 1452033"/>
              <a:gd name="connsiteX71" fmla="*/ 1562100 w 1900766"/>
              <a:gd name="connsiteY71" fmla="*/ 990600 h 1452033"/>
              <a:gd name="connsiteX72" fmla="*/ 1595966 w 1900766"/>
              <a:gd name="connsiteY72" fmla="*/ 1011767 h 1452033"/>
              <a:gd name="connsiteX73" fmla="*/ 1672166 w 1900766"/>
              <a:gd name="connsiteY73" fmla="*/ 994833 h 1452033"/>
              <a:gd name="connsiteX74" fmla="*/ 1680633 w 1900766"/>
              <a:gd name="connsiteY74" fmla="*/ 960967 h 1452033"/>
              <a:gd name="connsiteX75" fmla="*/ 1748366 w 1900766"/>
              <a:gd name="connsiteY75" fmla="*/ 872067 h 1452033"/>
              <a:gd name="connsiteX76" fmla="*/ 1731433 w 1900766"/>
              <a:gd name="connsiteY76" fmla="*/ 800100 h 1452033"/>
              <a:gd name="connsiteX77" fmla="*/ 1756833 w 1900766"/>
              <a:gd name="connsiteY77" fmla="*/ 762000 h 1452033"/>
              <a:gd name="connsiteX78" fmla="*/ 1803400 w 1900766"/>
              <a:gd name="connsiteY78" fmla="*/ 770467 h 1452033"/>
              <a:gd name="connsiteX79" fmla="*/ 1858433 w 1900766"/>
              <a:gd name="connsiteY79" fmla="*/ 656167 h 1452033"/>
              <a:gd name="connsiteX80" fmla="*/ 1900766 w 1900766"/>
              <a:gd name="connsiteY80" fmla="*/ 618067 h 1452033"/>
              <a:gd name="connsiteX81" fmla="*/ 1866900 w 1900766"/>
              <a:gd name="connsiteY81" fmla="*/ 512233 h 1452033"/>
              <a:gd name="connsiteX82" fmla="*/ 1879600 w 1900766"/>
              <a:gd name="connsiteY82" fmla="*/ 402167 h 1452033"/>
              <a:gd name="connsiteX83" fmla="*/ 1866900 w 1900766"/>
              <a:gd name="connsiteY83" fmla="*/ 304800 h 1452033"/>
              <a:gd name="connsiteX84" fmla="*/ 1900766 w 1900766"/>
              <a:gd name="connsiteY84" fmla="*/ 245533 h 1452033"/>
              <a:gd name="connsiteX85" fmla="*/ 1854200 w 1900766"/>
              <a:gd name="connsiteY85" fmla="*/ 127000 h 1452033"/>
              <a:gd name="connsiteX86" fmla="*/ 1684866 w 1900766"/>
              <a:gd name="connsiteY86" fmla="*/ 0 h 145203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Lst>
            <a:rect l="l" t="t" r="r" b="b"/>
            <a:pathLst>
              <a:path w="1900766" h="1452033">
                <a:moveTo>
                  <a:pt x="1684866" y="0"/>
                </a:moveTo>
                <a:lnTo>
                  <a:pt x="1553633" y="101600"/>
                </a:lnTo>
                <a:lnTo>
                  <a:pt x="1426633" y="127000"/>
                </a:lnTo>
                <a:lnTo>
                  <a:pt x="1265766" y="165100"/>
                </a:lnTo>
                <a:lnTo>
                  <a:pt x="1092200" y="266700"/>
                </a:lnTo>
                <a:lnTo>
                  <a:pt x="1020233" y="410633"/>
                </a:lnTo>
                <a:lnTo>
                  <a:pt x="1028700" y="444500"/>
                </a:lnTo>
                <a:lnTo>
                  <a:pt x="1164166" y="486833"/>
                </a:lnTo>
                <a:lnTo>
                  <a:pt x="1045633" y="499533"/>
                </a:lnTo>
                <a:lnTo>
                  <a:pt x="973666" y="558800"/>
                </a:lnTo>
                <a:lnTo>
                  <a:pt x="859366" y="596900"/>
                </a:lnTo>
                <a:lnTo>
                  <a:pt x="757766" y="546100"/>
                </a:lnTo>
                <a:lnTo>
                  <a:pt x="596900" y="533400"/>
                </a:lnTo>
                <a:lnTo>
                  <a:pt x="465666" y="482600"/>
                </a:lnTo>
                <a:lnTo>
                  <a:pt x="410633" y="516467"/>
                </a:lnTo>
                <a:lnTo>
                  <a:pt x="330200" y="385233"/>
                </a:lnTo>
                <a:lnTo>
                  <a:pt x="359833" y="279400"/>
                </a:lnTo>
                <a:lnTo>
                  <a:pt x="347133" y="249767"/>
                </a:lnTo>
                <a:lnTo>
                  <a:pt x="258233" y="241300"/>
                </a:lnTo>
                <a:lnTo>
                  <a:pt x="211666" y="279400"/>
                </a:lnTo>
                <a:lnTo>
                  <a:pt x="143933" y="266700"/>
                </a:lnTo>
                <a:lnTo>
                  <a:pt x="0" y="215900"/>
                </a:lnTo>
                <a:lnTo>
                  <a:pt x="4233" y="249767"/>
                </a:lnTo>
                <a:lnTo>
                  <a:pt x="46566" y="270933"/>
                </a:lnTo>
                <a:lnTo>
                  <a:pt x="50800" y="330200"/>
                </a:lnTo>
                <a:lnTo>
                  <a:pt x="29633" y="359833"/>
                </a:lnTo>
                <a:lnTo>
                  <a:pt x="63500" y="495300"/>
                </a:lnTo>
                <a:lnTo>
                  <a:pt x="169333" y="605367"/>
                </a:lnTo>
                <a:lnTo>
                  <a:pt x="143933" y="728133"/>
                </a:lnTo>
                <a:lnTo>
                  <a:pt x="173566" y="762000"/>
                </a:lnTo>
                <a:lnTo>
                  <a:pt x="160866" y="838200"/>
                </a:lnTo>
                <a:lnTo>
                  <a:pt x="139700" y="905933"/>
                </a:lnTo>
                <a:lnTo>
                  <a:pt x="190500" y="1028700"/>
                </a:lnTo>
                <a:lnTo>
                  <a:pt x="190500" y="1028700"/>
                </a:lnTo>
                <a:lnTo>
                  <a:pt x="232833" y="1049867"/>
                </a:lnTo>
                <a:lnTo>
                  <a:pt x="258233" y="1032933"/>
                </a:lnTo>
                <a:lnTo>
                  <a:pt x="237066" y="1071033"/>
                </a:lnTo>
                <a:lnTo>
                  <a:pt x="156633" y="1071033"/>
                </a:lnTo>
                <a:lnTo>
                  <a:pt x="215900" y="1185333"/>
                </a:lnTo>
                <a:lnTo>
                  <a:pt x="245533" y="1210733"/>
                </a:lnTo>
                <a:lnTo>
                  <a:pt x="347133" y="1143000"/>
                </a:lnTo>
                <a:lnTo>
                  <a:pt x="410633" y="1172633"/>
                </a:lnTo>
                <a:lnTo>
                  <a:pt x="512233" y="1181100"/>
                </a:lnTo>
                <a:lnTo>
                  <a:pt x="567266" y="1231900"/>
                </a:lnTo>
                <a:lnTo>
                  <a:pt x="596900" y="1210733"/>
                </a:lnTo>
                <a:lnTo>
                  <a:pt x="639233" y="1231900"/>
                </a:lnTo>
                <a:lnTo>
                  <a:pt x="715433" y="1189567"/>
                </a:lnTo>
                <a:lnTo>
                  <a:pt x="829733" y="1193800"/>
                </a:lnTo>
                <a:lnTo>
                  <a:pt x="838200" y="1164167"/>
                </a:lnTo>
                <a:lnTo>
                  <a:pt x="872066" y="1164167"/>
                </a:lnTo>
                <a:lnTo>
                  <a:pt x="889000" y="1227667"/>
                </a:lnTo>
                <a:lnTo>
                  <a:pt x="927100" y="1248833"/>
                </a:lnTo>
                <a:lnTo>
                  <a:pt x="939800" y="1291167"/>
                </a:lnTo>
                <a:lnTo>
                  <a:pt x="944033" y="1299633"/>
                </a:lnTo>
                <a:lnTo>
                  <a:pt x="977900" y="1291167"/>
                </a:lnTo>
                <a:lnTo>
                  <a:pt x="1109133" y="1223433"/>
                </a:lnTo>
                <a:lnTo>
                  <a:pt x="1155700" y="1240367"/>
                </a:lnTo>
                <a:lnTo>
                  <a:pt x="1164166" y="1346200"/>
                </a:lnTo>
                <a:lnTo>
                  <a:pt x="1261533" y="1413933"/>
                </a:lnTo>
                <a:lnTo>
                  <a:pt x="1303866" y="1397000"/>
                </a:lnTo>
                <a:lnTo>
                  <a:pt x="1333500" y="1443567"/>
                </a:lnTo>
                <a:lnTo>
                  <a:pt x="1371600" y="1452033"/>
                </a:lnTo>
                <a:lnTo>
                  <a:pt x="1371600" y="1452033"/>
                </a:lnTo>
                <a:lnTo>
                  <a:pt x="1358900" y="1346200"/>
                </a:lnTo>
                <a:lnTo>
                  <a:pt x="1452033" y="1299633"/>
                </a:lnTo>
                <a:lnTo>
                  <a:pt x="1452033" y="1189567"/>
                </a:lnTo>
                <a:lnTo>
                  <a:pt x="1452033" y="1172633"/>
                </a:lnTo>
                <a:lnTo>
                  <a:pt x="1397000" y="1117600"/>
                </a:lnTo>
                <a:lnTo>
                  <a:pt x="1392766" y="1075267"/>
                </a:lnTo>
                <a:lnTo>
                  <a:pt x="1418166" y="1041400"/>
                </a:lnTo>
                <a:lnTo>
                  <a:pt x="1494366" y="1037167"/>
                </a:lnTo>
                <a:lnTo>
                  <a:pt x="1562100" y="990600"/>
                </a:lnTo>
                <a:lnTo>
                  <a:pt x="1595966" y="1011767"/>
                </a:lnTo>
                <a:lnTo>
                  <a:pt x="1672166" y="994833"/>
                </a:lnTo>
                <a:lnTo>
                  <a:pt x="1680633" y="960967"/>
                </a:lnTo>
                <a:lnTo>
                  <a:pt x="1748366" y="872067"/>
                </a:lnTo>
                <a:lnTo>
                  <a:pt x="1731433" y="800100"/>
                </a:lnTo>
                <a:lnTo>
                  <a:pt x="1756833" y="762000"/>
                </a:lnTo>
                <a:lnTo>
                  <a:pt x="1803400" y="770467"/>
                </a:lnTo>
                <a:lnTo>
                  <a:pt x="1858433" y="656167"/>
                </a:lnTo>
                <a:lnTo>
                  <a:pt x="1900766" y="618067"/>
                </a:lnTo>
                <a:lnTo>
                  <a:pt x="1866900" y="512233"/>
                </a:lnTo>
                <a:lnTo>
                  <a:pt x="1879600" y="402167"/>
                </a:lnTo>
                <a:lnTo>
                  <a:pt x="1866900" y="304800"/>
                </a:lnTo>
                <a:lnTo>
                  <a:pt x="1900766" y="245533"/>
                </a:lnTo>
                <a:lnTo>
                  <a:pt x="1854200" y="127000"/>
                </a:lnTo>
                <a:lnTo>
                  <a:pt x="1684866" y="0"/>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31" name="Nord_Pas_de_Calais_Picardie">
            <a:extLst>
              <a:ext uri="{FF2B5EF4-FFF2-40B4-BE49-F238E27FC236}">
                <a16:creationId xmlns:a16="http://schemas.microsoft.com/office/drawing/2014/main" id="{00000000-0008-0000-0100-00004B010000}"/>
              </a:ext>
            </a:extLst>
          </xdr:cNvPr>
          <xdr:cNvSpPr/>
        </xdr:nvSpPr>
        <xdr:spPr>
          <a:xfrm>
            <a:off x="4405638" y="1269761"/>
            <a:ext cx="1607403" cy="1691999"/>
          </a:xfrm>
          <a:custGeom>
            <a:avLst/>
            <a:gdLst>
              <a:gd name="connsiteX0" fmla="*/ 1452033 w 1460500"/>
              <a:gd name="connsiteY0" fmla="*/ 859366 h 1731433"/>
              <a:gd name="connsiteX1" fmla="*/ 1397000 w 1460500"/>
              <a:gd name="connsiteY1" fmla="*/ 846666 h 1731433"/>
              <a:gd name="connsiteX2" fmla="*/ 1430867 w 1460500"/>
              <a:gd name="connsiteY2" fmla="*/ 774700 h 1731433"/>
              <a:gd name="connsiteX3" fmla="*/ 1397000 w 1460500"/>
              <a:gd name="connsiteY3" fmla="*/ 702733 h 1731433"/>
              <a:gd name="connsiteX4" fmla="*/ 1426633 w 1460500"/>
              <a:gd name="connsiteY4" fmla="*/ 609600 h 1731433"/>
              <a:gd name="connsiteX5" fmla="*/ 1392767 w 1460500"/>
              <a:gd name="connsiteY5" fmla="*/ 626533 h 1731433"/>
              <a:gd name="connsiteX6" fmla="*/ 1341967 w 1460500"/>
              <a:gd name="connsiteY6" fmla="*/ 563033 h 1731433"/>
              <a:gd name="connsiteX7" fmla="*/ 1278467 w 1460500"/>
              <a:gd name="connsiteY7" fmla="*/ 575733 h 1731433"/>
              <a:gd name="connsiteX8" fmla="*/ 1189567 w 1460500"/>
              <a:gd name="connsiteY8" fmla="*/ 558800 h 1731433"/>
              <a:gd name="connsiteX9" fmla="*/ 1159933 w 1460500"/>
              <a:gd name="connsiteY9" fmla="*/ 579966 h 1731433"/>
              <a:gd name="connsiteX10" fmla="*/ 1143000 w 1460500"/>
              <a:gd name="connsiteY10" fmla="*/ 478366 h 1731433"/>
              <a:gd name="connsiteX11" fmla="*/ 1071033 w 1460500"/>
              <a:gd name="connsiteY11" fmla="*/ 452966 h 1731433"/>
              <a:gd name="connsiteX12" fmla="*/ 1058333 w 1460500"/>
              <a:gd name="connsiteY12" fmla="*/ 423333 h 1731433"/>
              <a:gd name="connsiteX13" fmla="*/ 1007533 w 1460500"/>
              <a:gd name="connsiteY13" fmla="*/ 436033 h 1731433"/>
              <a:gd name="connsiteX14" fmla="*/ 977900 w 1460500"/>
              <a:gd name="connsiteY14" fmla="*/ 423333 h 1731433"/>
              <a:gd name="connsiteX15" fmla="*/ 931333 w 1460500"/>
              <a:gd name="connsiteY15" fmla="*/ 330200 h 1731433"/>
              <a:gd name="connsiteX16" fmla="*/ 935567 w 1460500"/>
              <a:gd name="connsiteY16" fmla="*/ 283633 h 1731433"/>
              <a:gd name="connsiteX17" fmla="*/ 905933 w 1460500"/>
              <a:gd name="connsiteY17" fmla="*/ 237066 h 1731433"/>
              <a:gd name="connsiteX18" fmla="*/ 821267 w 1460500"/>
              <a:gd name="connsiteY18" fmla="*/ 232833 h 1731433"/>
              <a:gd name="connsiteX19" fmla="*/ 757767 w 1460500"/>
              <a:gd name="connsiteY19" fmla="*/ 275166 h 1731433"/>
              <a:gd name="connsiteX20" fmla="*/ 736600 w 1460500"/>
              <a:gd name="connsiteY20" fmla="*/ 279400 h 1731433"/>
              <a:gd name="connsiteX21" fmla="*/ 719667 w 1460500"/>
              <a:gd name="connsiteY21" fmla="*/ 266700 h 1731433"/>
              <a:gd name="connsiteX22" fmla="*/ 664633 w 1460500"/>
              <a:gd name="connsiteY22" fmla="*/ 207433 h 1731433"/>
              <a:gd name="connsiteX23" fmla="*/ 673100 w 1460500"/>
              <a:gd name="connsiteY23" fmla="*/ 194733 h 1731433"/>
              <a:gd name="connsiteX24" fmla="*/ 630767 w 1460500"/>
              <a:gd name="connsiteY24" fmla="*/ 194733 h 1731433"/>
              <a:gd name="connsiteX25" fmla="*/ 609600 w 1460500"/>
              <a:gd name="connsiteY25" fmla="*/ 165100 h 1731433"/>
              <a:gd name="connsiteX26" fmla="*/ 626533 w 1460500"/>
              <a:gd name="connsiteY26" fmla="*/ 93133 h 1731433"/>
              <a:gd name="connsiteX27" fmla="*/ 596900 w 1460500"/>
              <a:gd name="connsiteY27" fmla="*/ 21166 h 1731433"/>
              <a:gd name="connsiteX28" fmla="*/ 563033 w 1460500"/>
              <a:gd name="connsiteY28" fmla="*/ 0 h 1731433"/>
              <a:gd name="connsiteX29" fmla="*/ 177800 w 1460500"/>
              <a:gd name="connsiteY29" fmla="*/ 105833 h 1731433"/>
              <a:gd name="connsiteX30" fmla="*/ 118533 w 1460500"/>
              <a:gd name="connsiteY30" fmla="*/ 156633 h 1731433"/>
              <a:gd name="connsiteX31" fmla="*/ 105833 w 1460500"/>
              <a:gd name="connsiteY31" fmla="*/ 177800 h 1731433"/>
              <a:gd name="connsiteX32" fmla="*/ 110067 w 1460500"/>
              <a:gd name="connsiteY32" fmla="*/ 397933 h 1731433"/>
              <a:gd name="connsiteX33" fmla="*/ 156633 w 1460500"/>
              <a:gd name="connsiteY33" fmla="*/ 431800 h 1731433"/>
              <a:gd name="connsiteX34" fmla="*/ 114300 w 1460500"/>
              <a:gd name="connsiteY34" fmla="*/ 431800 h 1731433"/>
              <a:gd name="connsiteX35" fmla="*/ 105833 w 1460500"/>
              <a:gd name="connsiteY35" fmla="*/ 516466 h 1731433"/>
              <a:gd name="connsiteX36" fmla="*/ 105833 w 1460500"/>
              <a:gd name="connsiteY36" fmla="*/ 529166 h 1731433"/>
              <a:gd name="connsiteX37" fmla="*/ 110067 w 1460500"/>
              <a:gd name="connsiteY37" fmla="*/ 537633 h 1731433"/>
              <a:gd name="connsiteX38" fmla="*/ 131233 w 1460500"/>
              <a:gd name="connsiteY38" fmla="*/ 554566 h 1731433"/>
              <a:gd name="connsiteX39" fmla="*/ 105833 w 1460500"/>
              <a:gd name="connsiteY39" fmla="*/ 571500 h 1731433"/>
              <a:gd name="connsiteX40" fmla="*/ 93133 w 1460500"/>
              <a:gd name="connsiteY40" fmla="*/ 584200 h 1731433"/>
              <a:gd name="connsiteX41" fmla="*/ 84667 w 1460500"/>
              <a:gd name="connsiteY41" fmla="*/ 601133 h 1731433"/>
              <a:gd name="connsiteX42" fmla="*/ 84667 w 1460500"/>
              <a:gd name="connsiteY42" fmla="*/ 618066 h 1731433"/>
              <a:gd name="connsiteX43" fmla="*/ 110067 w 1460500"/>
              <a:gd name="connsiteY43" fmla="*/ 673100 h 1731433"/>
              <a:gd name="connsiteX44" fmla="*/ 122767 w 1460500"/>
              <a:gd name="connsiteY44" fmla="*/ 677333 h 1731433"/>
              <a:gd name="connsiteX45" fmla="*/ 84667 w 1460500"/>
              <a:gd name="connsiteY45" fmla="*/ 668866 h 1731433"/>
              <a:gd name="connsiteX46" fmla="*/ 55033 w 1460500"/>
              <a:gd name="connsiteY46" fmla="*/ 711200 h 1731433"/>
              <a:gd name="connsiteX47" fmla="*/ 4233 w 1460500"/>
              <a:gd name="connsiteY47" fmla="*/ 766233 h 1731433"/>
              <a:gd name="connsiteX48" fmla="*/ 0 w 1460500"/>
              <a:gd name="connsiteY48" fmla="*/ 783166 h 1731433"/>
              <a:gd name="connsiteX49" fmla="*/ 160867 w 1460500"/>
              <a:gd name="connsiteY49" fmla="*/ 905933 h 1731433"/>
              <a:gd name="connsiteX50" fmla="*/ 211667 w 1460500"/>
              <a:gd name="connsiteY50" fmla="*/ 1020233 h 1731433"/>
              <a:gd name="connsiteX51" fmla="*/ 169333 w 1460500"/>
              <a:gd name="connsiteY51" fmla="*/ 1079500 h 1731433"/>
              <a:gd name="connsiteX52" fmla="*/ 186267 w 1460500"/>
              <a:gd name="connsiteY52" fmla="*/ 1181100 h 1731433"/>
              <a:gd name="connsiteX53" fmla="*/ 169333 w 1460500"/>
              <a:gd name="connsiteY53" fmla="*/ 1278466 h 1731433"/>
              <a:gd name="connsiteX54" fmla="*/ 211667 w 1460500"/>
              <a:gd name="connsiteY54" fmla="*/ 1397000 h 1731433"/>
              <a:gd name="connsiteX55" fmla="*/ 169333 w 1460500"/>
              <a:gd name="connsiteY55" fmla="*/ 1439333 h 1731433"/>
              <a:gd name="connsiteX56" fmla="*/ 182033 w 1460500"/>
              <a:gd name="connsiteY56" fmla="*/ 1477433 h 1731433"/>
              <a:gd name="connsiteX57" fmla="*/ 254000 w 1460500"/>
              <a:gd name="connsiteY57" fmla="*/ 1481666 h 1731433"/>
              <a:gd name="connsiteX58" fmla="*/ 330200 w 1460500"/>
              <a:gd name="connsiteY58" fmla="*/ 1464733 h 1731433"/>
              <a:gd name="connsiteX59" fmla="*/ 448733 w 1460500"/>
              <a:gd name="connsiteY59" fmla="*/ 1490133 h 1731433"/>
              <a:gd name="connsiteX60" fmla="*/ 482600 w 1460500"/>
              <a:gd name="connsiteY60" fmla="*/ 1468966 h 1731433"/>
              <a:gd name="connsiteX61" fmla="*/ 618067 w 1460500"/>
              <a:gd name="connsiteY61" fmla="*/ 1557866 h 1731433"/>
              <a:gd name="connsiteX62" fmla="*/ 702733 w 1460500"/>
              <a:gd name="connsiteY62" fmla="*/ 1562100 h 1731433"/>
              <a:gd name="connsiteX63" fmla="*/ 728133 w 1460500"/>
              <a:gd name="connsiteY63" fmla="*/ 1536700 h 1731433"/>
              <a:gd name="connsiteX64" fmla="*/ 757767 w 1460500"/>
              <a:gd name="connsiteY64" fmla="*/ 1557866 h 1731433"/>
              <a:gd name="connsiteX65" fmla="*/ 867833 w 1460500"/>
              <a:gd name="connsiteY65" fmla="*/ 1515533 h 1731433"/>
              <a:gd name="connsiteX66" fmla="*/ 901700 w 1460500"/>
              <a:gd name="connsiteY66" fmla="*/ 1524000 h 1731433"/>
              <a:gd name="connsiteX67" fmla="*/ 914400 w 1460500"/>
              <a:gd name="connsiteY67" fmla="*/ 1557866 h 1731433"/>
              <a:gd name="connsiteX68" fmla="*/ 914400 w 1460500"/>
              <a:gd name="connsiteY68" fmla="*/ 1587500 h 1731433"/>
              <a:gd name="connsiteX69" fmla="*/ 914400 w 1460500"/>
              <a:gd name="connsiteY69" fmla="*/ 1595966 h 1731433"/>
              <a:gd name="connsiteX70" fmla="*/ 931333 w 1460500"/>
              <a:gd name="connsiteY70" fmla="*/ 1617133 h 1731433"/>
              <a:gd name="connsiteX71" fmla="*/ 960967 w 1460500"/>
              <a:gd name="connsiteY71" fmla="*/ 1646766 h 1731433"/>
              <a:gd name="connsiteX72" fmla="*/ 1003300 w 1460500"/>
              <a:gd name="connsiteY72" fmla="*/ 1672166 h 1731433"/>
              <a:gd name="connsiteX73" fmla="*/ 1045633 w 1460500"/>
              <a:gd name="connsiteY73" fmla="*/ 1693333 h 1731433"/>
              <a:gd name="connsiteX74" fmla="*/ 1071033 w 1460500"/>
              <a:gd name="connsiteY74" fmla="*/ 1722966 h 1731433"/>
              <a:gd name="connsiteX75" fmla="*/ 1075267 w 1460500"/>
              <a:gd name="connsiteY75" fmla="*/ 1731433 h 1731433"/>
              <a:gd name="connsiteX76" fmla="*/ 1181100 w 1460500"/>
              <a:gd name="connsiteY76" fmla="*/ 1587500 h 1731433"/>
              <a:gd name="connsiteX77" fmla="*/ 1159933 w 1460500"/>
              <a:gd name="connsiteY77" fmla="*/ 1570566 h 1731433"/>
              <a:gd name="connsiteX78" fmla="*/ 1159933 w 1460500"/>
              <a:gd name="connsiteY78" fmla="*/ 1540933 h 1731433"/>
              <a:gd name="connsiteX79" fmla="*/ 1147233 w 1460500"/>
              <a:gd name="connsiteY79" fmla="*/ 1507066 h 1731433"/>
              <a:gd name="connsiteX80" fmla="*/ 1210733 w 1460500"/>
              <a:gd name="connsiteY80" fmla="*/ 1481666 h 1731433"/>
              <a:gd name="connsiteX81" fmla="*/ 1168400 w 1460500"/>
              <a:gd name="connsiteY81" fmla="*/ 1392766 h 1731433"/>
              <a:gd name="connsiteX82" fmla="*/ 1172633 w 1460500"/>
              <a:gd name="connsiteY82" fmla="*/ 1350433 h 1731433"/>
              <a:gd name="connsiteX83" fmla="*/ 1286933 w 1460500"/>
              <a:gd name="connsiteY83" fmla="*/ 1295400 h 1731433"/>
              <a:gd name="connsiteX84" fmla="*/ 1333500 w 1460500"/>
              <a:gd name="connsiteY84" fmla="*/ 1320800 h 1731433"/>
              <a:gd name="connsiteX85" fmla="*/ 1371600 w 1460500"/>
              <a:gd name="connsiteY85" fmla="*/ 1282700 h 1731433"/>
              <a:gd name="connsiteX86" fmla="*/ 1358900 w 1460500"/>
              <a:gd name="connsiteY86" fmla="*/ 1104900 h 1731433"/>
              <a:gd name="connsiteX87" fmla="*/ 1397000 w 1460500"/>
              <a:gd name="connsiteY87" fmla="*/ 1087966 h 1731433"/>
              <a:gd name="connsiteX88" fmla="*/ 1460500 w 1460500"/>
              <a:gd name="connsiteY88" fmla="*/ 1007533 h 1731433"/>
              <a:gd name="connsiteX89" fmla="*/ 1439333 w 1460500"/>
              <a:gd name="connsiteY89" fmla="*/ 969433 h 1731433"/>
              <a:gd name="connsiteX90" fmla="*/ 1452033 w 1460500"/>
              <a:gd name="connsiteY90" fmla="*/ 859366 h 173143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Lst>
            <a:rect l="l" t="t" r="r" b="b"/>
            <a:pathLst>
              <a:path w="1460500" h="1731433">
                <a:moveTo>
                  <a:pt x="1452033" y="859366"/>
                </a:moveTo>
                <a:lnTo>
                  <a:pt x="1397000" y="846666"/>
                </a:lnTo>
                <a:lnTo>
                  <a:pt x="1430867" y="774700"/>
                </a:lnTo>
                <a:lnTo>
                  <a:pt x="1397000" y="702733"/>
                </a:lnTo>
                <a:lnTo>
                  <a:pt x="1426633" y="609600"/>
                </a:lnTo>
                <a:lnTo>
                  <a:pt x="1392767" y="626533"/>
                </a:lnTo>
                <a:lnTo>
                  <a:pt x="1341967" y="563033"/>
                </a:lnTo>
                <a:lnTo>
                  <a:pt x="1278467" y="575733"/>
                </a:lnTo>
                <a:lnTo>
                  <a:pt x="1189567" y="558800"/>
                </a:lnTo>
                <a:lnTo>
                  <a:pt x="1159933" y="579966"/>
                </a:lnTo>
                <a:lnTo>
                  <a:pt x="1143000" y="478366"/>
                </a:lnTo>
                <a:lnTo>
                  <a:pt x="1071033" y="452966"/>
                </a:lnTo>
                <a:lnTo>
                  <a:pt x="1058333" y="423333"/>
                </a:lnTo>
                <a:lnTo>
                  <a:pt x="1007533" y="436033"/>
                </a:lnTo>
                <a:lnTo>
                  <a:pt x="977900" y="423333"/>
                </a:lnTo>
                <a:lnTo>
                  <a:pt x="931333" y="330200"/>
                </a:lnTo>
                <a:lnTo>
                  <a:pt x="935567" y="283633"/>
                </a:lnTo>
                <a:lnTo>
                  <a:pt x="905933" y="237066"/>
                </a:lnTo>
                <a:lnTo>
                  <a:pt x="821267" y="232833"/>
                </a:lnTo>
                <a:lnTo>
                  <a:pt x="757767" y="275166"/>
                </a:lnTo>
                <a:lnTo>
                  <a:pt x="736600" y="279400"/>
                </a:lnTo>
                <a:lnTo>
                  <a:pt x="719667" y="266700"/>
                </a:lnTo>
                <a:lnTo>
                  <a:pt x="664633" y="207433"/>
                </a:lnTo>
                <a:lnTo>
                  <a:pt x="673100" y="194733"/>
                </a:lnTo>
                <a:lnTo>
                  <a:pt x="630767" y="194733"/>
                </a:lnTo>
                <a:lnTo>
                  <a:pt x="609600" y="165100"/>
                </a:lnTo>
                <a:lnTo>
                  <a:pt x="626533" y="93133"/>
                </a:lnTo>
                <a:lnTo>
                  <a:pt x="596900" y="21166"/>
                </a:lnTo>
                <a:lnTo>
                  <a:pt x="563033" y="0"/>
                </a:lnTo>
                <a:lnTo>
                  <a:pt x="177800" y="105833"/>
                </a:lnTo>
                <a:lnTo>
                  <a:pt x="118533" y="156633"/>
                </a:lnTo>
                <a:lnTo>
                  <a:pt x="105833" y="177800"/>
                </a:lnTo>
                <a:cubicBezTo>
                  <a:pt x="107244" y="251178"/>
                  <a:pt x="108656" y="324555"/>
                  <a:pt x="110067" y="397933"/>
                </a:cubicBezTo>
                <a:lnTo>
                  <a:pt x="156633" y="431800"/>
                </a:lnTo>
                <a:lnTo>
                  <a:pt x="114300" y="431800"/>
                </a:lnTo>
                <a:lnTo>
                  <a:pt x="105833" y="516466"/>
                </a:lnTo>
                <a:lnTo>
                  <a:pt x="105833" y="529166"/>
                </a:lnTo>
                <a:lnTo>
                  <a:pt x="110067" y="537633"/>
                </a:lnTo>
                <a:lnTo>
                  <a:pt x="131233" y="554566"/>
                </a:lnTo>
                <a:lnTo>
                  <a:pt x="105833" y="571500"/>
                </a:lnTo>
                <a:lnTo>
                  <a:pt x="93133" y="584200"/>
                </a:lnTo>
                <a:lnTo>
                  <a:pt x="84667" y="601133"/>
                </a:lnTo>
                <a:lnTo>
                  <a:pt x="84667" y="618066"/>
                </a:lnTo>
                <a:lnTo>
                  <a:pt x="110067" y="673100"/>
                </a:lnTo>
                <a:lnTo>
                  <a:pt x="122767" y="677333"/>
                </a:lnTo>
                <a:lnTo>
                  <a:pt x="84667" y="668866"/>
                </a:lnTo>
                <a:lnTo>
                  <a:pt x="55033" y="711200"/>
                </a:lnTo>
                <a:lnTo>
                  <a:pt x="4233" y="766233"/>
                </a:lnTo>
                <a:lnTo>
                  <a:pt x="0" y="783166"/>
                </a:lnTo>
                <a:lnTo>
                  <a:pt x="160867" y="905933"/>
                </a:lnTo>
                <a:lnTo>
                  <a:pt x="211667" y="1020233"/>
                </a:lnTo>
                <a:lnTo>
                  <a:pt x="169333" y="1079500"/>
                </a:lnTo>
                <a:lnTo>
                  <a:pt x="186267" y="1181100"/>
                </a:lnTo>
                <a:lnTo>
                  <a:pt x="169333" y="1278466"/>
                </a:lnTo>
                <a:lnTo>
                  <a:pt x="211667" y="1397000"/>
                </a:lnTo>
                <a:lnTo>
                  <a:pt x="169333" y="1439333"/>
                </a:lnTo>
                <a:lnTo>
                  <a:pt x="182033" y="1477433"/>
                </a:lnTo>
                <a:lnTo>
                  <a:pt x="254000" y="1481666"/>
                </a:lnTo>
                <a:lnTo>
                  <a:pt x="330200" y="1464733"/>
                </a:lnTo>
                <a:lnTo>
                  <a:pt x="448733" y="1490133"/>
                </a:lnTo>
                <a:lnTo>
                  <a:pt x="482600" y="1468966"/>
                </a:lnTo>
                <a:lnTo>
                  <a:pt x="618067" y="1557866"/>
                </a:lnTo>
                <a:lnTo>
                  <a:pt x="702733" y="1562100"/>
                </a:lnTo>
                <a:lnTo>
                  <a:pt x="728133" y="1536700"/>
                </a:lnTo>
                <a:lnTo>
                  <a:pt x="757767" y="1557866"/>
                </a:lnTo>
                <a:lnTo>
                  <a:pt x="867833" y="1515533"/>
                </a:lnTo>
                <a:lnTo>
                  <a:pt x="901700" y="1524000"/>
                </a:lnTo>
                <a:lnTo>
                  <a:pt x="914400" y="1557866"/>
                </a:lnTo>
                <a:lnTo>
                  <a:pt x="914400" y="1587500"/>
                </a:lnTo>
                <a:lnTo>
                  <a:pt x="914400" y="1595966"/>
                </a:lnTo>
                <a:lnTo>
                  <a:pt x="931333" y="1617133"/>
                </a:lnTo>
                <a:lnTo>
                  <a:pt x="960967" y="1646766"/>
                </a:lnTo>
                <a:lnTo>
                  <a:pt x="1003300" y="1672166"/>
                </a:lnTo>
                <a:lnTo>
                  <a:pt x="1045633" y="1693333"/>
                </a:lnTo>
                <a:lnTo>
                  <a:pt x="1071033" y="1722966"/>
                </a:lnTo>
                <a:lnTo>
                  <a:pt x="1075267" y="1731433"/>
                </a:lnTo>
                <a:lnTo>
                  <a:pt x="1181100" y="1587500"/>
                </a:lnTo>
                <a:lnTo>
                  <a:pt x="1159933" y="1570566"/>
                </a:lnTo>
                <a:lnTo>
                  <a:pt x="1159933" y="1540933"/>
                </a:lnTo>
                <a:lnTo>
                  <a:pt x="1147233" y="1507066"/>
                </a:lnTo>
                <a:lnTo>
                  <a:pt x="1210733" y="1481666"/>
                </a:lnTo>
                <a:lnTo>
                  <a:pt x="1168400" y="1392766"/>
                </a:lnTo>
                <a:lnTo>
                  <a:pt x="1172633" y="1350433"/>
                </a:lnTo>
                <a:lnTo>
                  <a:pt x="1286933" y="1295400"/>
                </a:lnTo>
                <a:lnTo>
                  <a:pt x="1333500" y="1320800"/>
                </a:lnTo>
                <a:lnTo>
                  <a:pt x="1371600" y="1282700"/>
                </a:lnTo>
                <a:lnTo>
                  <a:pt x="1358900" y="1104900"/>
                </a:lnTo>
                <a:lnTo>
                  <a:pt x="1397000" y="1087966"/>
                </a:lnTo>
                <a:lnTo>
                  <a:pt x="1460500" y="1007533"/>
                </a:lnTo>
                <a:lnTo>
                  <a:pt x="1439333" y="969433"/>
                </a:lnTo>
                <a:lnTo>
                  <a:pt x="1452033" y="859366"/>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32" name="Centre">
            <a:extLst>
              <a:ext uri="{FF2B5EF4-FFF2-40B4-BE49-F238E27FC236}">
                <a16:creationId xmlns:a16="http://schemas.microsoft.com/office/drawing/2014/main" id="{00000000-0008-0000-0100-00004C010000}"/>
              </a:ext>
            </a:extLst>
          </xdr:cNvPr>
          <xdr:cNvSpPr/>
        </xdr:nvSpPr>
        <xdr:spPr>
          <a:xfrm>
            <a:off x="3608012" y="2881813"/>
            <a:ext cx="1776087" cy="1969488"/>
          </a:xfrm>
          <a:custGeom>
            <a:avLst/>
            <a:gdLst>
              <a:gd name="connsiteX0" fmla="*/ 1535430 w 1619250"/>
              <a:gd name="connsiteY0" fmla="*/ 613410 h 2026920"/>
              <a:gd name="connsiteX1" fmla="*/ 1375410 w 1619250"/>
              <a:gd name="connsiteY1" fmla="*/ 647700 h 2026920"/>
              <a:gd name="connsiteX2" fmla="*/ 1280160 w 1619250"/>
              <a:gd name="connsiteY2" fmla="*/ 636270 h 2026920"/>
              <a:gd name="connsiteX3" fmla="*/ 1314450 w 1619250"/>
              <a:gd name="connsiteY3" fmla="*/ 617220 h 2026920"/>
              <a:gd name="connsiteX4" fmla="*/ 1318260 w 1619250"/>
              <a:gd name="connsiteY4" fmla="*/ 582930 h 2026920"/>
              <a:gd name="connsiteX5" fmla="*/ 1264920 w 1619250"/>
              <a:gd name="connsiteY5" fmla="*/ 525780 h 2026920"/>
              <a:gd name="connsiteX6" fmla="*/ 1261110 w 1619250"/>
              <a:gd name="connsiteY6" fmla="*/ 491490 h 2026920"/>
              <a:gd name="connsiteX7" fmla="*/ 1219200 w 1619250"/>
              <a:gd name="connsiteY7" fmla="*/ 476250 h 2026920"/>
              <a:gd name="connsiteX8" fmla="*/ 1165860 w 1619250"/>
              <a:gd name="connsiteY8" fmla="*/ 506730 h 2026920"/>
              <a:gd name="connsiteX9" fmla="*/ 1154430 w 1619250"/>
              <a:gd name="connsiteY9" fmla="*/ 464820 h 2026920"/>
              <a:gd name="connsiteX10" fmla="*/ 1120140 w 1619250"/>
              <a:gd name="connsiteY10" fmla="*/ 510540 h 2026920"/>
              <a:gd name="connsiteX11" fmla="*/ 1028700 w 1619250"/>
              <a:gd name="connsiteY11" fmla="*/ 510540 h 2026920"/>
              <a:gd name="connsiteX12" fmla="*/ 990600 w 1619250"/>
              <a:gd name="connsiteY12" fmla="*/ 384810 h 2026920"/>
              <a:gd name="connsiteX13" fmla="*/ 967740 w 1619250"/>
              <a:gd name="connsiteY13" fmla="*/ 392430 h 2026920"/>
              <a:gd name="connsiteX14" fmla="*/ 937260 w 1619250"/>
              <a:gd name="connsiteY14" fmla="*/ 346710 h 2026920"/>
              <a:gd name="connsiteX15" fmla="*/ 914400 w 1619250"/>
              <a:gd name="connsiteY15" fmla="*/ 281940 h 2026920"/>
              <a:gd name="connsiteX16" fmla="*/ 842010 w 1619250"/>
              <a:gd name="connsiteY16" fmla="*/ 224790 h 2026920"/>
              <a:gd name="connsiteX17" fmla="*/ 830580 w 1619250"/>
              <a:gd name="connsiteY17" fmla="*/ 217170 h 2026920"/>
              <a:gd name="connsiteX18" fmla="*/ 830580 w 1619250"/>
              <a:gd name="connsiteY18" fmla="*/ 76200 h 2026920"/>
              <a:gd name="connsiteX19" fmla="*/ 777240 w 1619250"/>
              <a:gd name="connsiteY19" fmla="*/ 11430 h 2026920"/>
              <a:gd name="connsiteX20" fmla="*/ 773430 w 1619250"/>
              <a:gd name="connsiteY20" fmla="*/ 0 h 2026920"/>
              <a:gd name="connsiteX21" fmla="*/ 716280 w 1619250"/>
              <a:gd name="connsiteY21" fmla="*/ 76200 h 2026920"/>
              <a:gd name="connsiteX22" fmla="*/ 708660 w 1619250"/>
              <a:gd name="connsiteY22" fmla="*/ 118110 h 2026920"/>
              <a:gd name="connsiteX23" fmla="*/ 628650 w 1619250"/>
              <a:gd name="connsiteY23" fmla="*/ 133350 h 2026920"/>
              <a:gd name="connsiteX24" fmla="*/ 598170 w 1619250"/>
              <a:gd name="connsiteY24" fmla="*/ 114300 h 2026920"/>
              <a:gd name="connsiteX25" fmla="*/ 525780 w 1619250"/>
              <a:gd name="connsiteY25" fmla="*/ 156210 h 2026920"/>
              <a:gd name="connsiteX26" fmla="*/ 468630 w 1619250"/>
              <a:gd name="connsiteY26" fmla="*/ 167640 h 2026920"/>
              <a:gd name="connsiteX27" fmla="*/ 468630 w 1619250"/>
              <a:gd name="connsiteY27" fmla="*/ 167640 h 2026920"/>
              <a:gd name="connsiteX28" fmla="*/ 449580 w 1619250"/>
              <a:gd name="connsiteY28" fmla="*/ 163830 h 2026920"/>
              <a:gd name="connsiteX29" fmla="*/ 426720 w 1619250"/>
              <a:gd name="connsiteY29" fmla="*/ 198120 h 2026920"/>
              <a:gd name="connsiteX30" fmla="*/ 430530 w 1619250"/>
              <a:gd name="connsiteY30" fmla="*/ 247650 h 2026920"/>
              <a:gd name="connsiteX31" fmla="*/ 483870 w 1619250"/>
              <a:gd name="connsiteY31" fmla="*/ 297180 h 2026920"/>
              <a:gd name="connsiteX32" fmla="*/ 487680 w 1619250"/>
              <a:gd name="connsiteY32" fmla="*/ 422910 h 2026920"/>
              <a:gd name="connsiteX33" fmla="*/ 400050 w 1619250"/>
              <a:gd name="connsiteY33" fmla="*/ 468630 h 2026920"/>
              <a:gd name="connsiteX34" fmla="*/ 392430 w 1619250"/>
              <a:gd name="connsiteY34" fmla="*/ 487680 h 2026920"/>
              <a:gd name="connsiteX35" fmla="*/ 400050 w 1619250"/>
              <a:gd name="connsiteY35" fmla="*/ 571500 h 2026920"/>
              <a:gd name="connsiteX36" fmla="*/ 422910 w 1619250"/>
              <a:gd name="connsiteY36" fmla="*/ 621030 h 2026920"/>
              <a:gd name="connsiteX37" fmla="*/ 426720 w 1619250"/>
              <a:gd name="connsiteY37" fmla="*/ 628650 h 2026920"/>
              <a:gd name="connsiteX38" fmla="*/ 426720 w 1619250"/>
              <a:gd name="connsiteY38" fmla="*/ 640080 h 2026920"/>
              <a:gd name="connsiteX39" fmla="*/ 411480 w 1619250"/>
              <a:gd name="connsiteY39" fmla="*/ 670560 h 2026920"/>
              <a:gd name="connsiteX40" fmla="*/ 426720 w 1619250"/>
              <a:gd name="connsiteY40" fmla="*/ 704850 h 2026920"/>
              <a:gd name="connsiteX41" fmla="*/ 422910 w 1619250"/>
              <a:gd name="connsiteY41" fmla="*/ 765810 h 2026920"/>
              <a:gd name="connsiteX42" fmla="*/ 350520 w 1619250"/>
              <a:gd name="connsiteY42" fmla="*/ 906780 h 2026920"/>
              <a:gd name="connsiteX43" fmla="*/ 316230 w 1619250"/>
              <a:gd name="connsiteY43" fmla="*/ 906780 h 2026920"/>
              <a:gd name="connsiteX44" fmla="*/ 297180 w 1619250"/>
              <a:gd name="connsiteY44" fmla="*/ 967740 h 2026920"/>
              <a:gd name="connsiteX45" fmla="*/ 217170 w 1619250"/>
              <a:gd name="connsiteY45" fmla="*/ 1028700 h 2026920"/>
              <a:gd name="connsiteX46" fmla="*/ 167640 w 1619250"/>
              <a:gd name="connsiteY46" fmla="*/ 1021080 h 2026920"/>
              <a:gd name="connsiteX47" fmla="*/ 179070 w 1619250"/>
              <a:gd name="connsiteY47" fmla="*/ 1062990 h 2026920"/>
              <a:gd name="connsiteX48" fmla="*/ 99060 w 1619250"/>
              <a:gd name="connsiteY48" fmla="*/ 1036320 h 2026920"/>
              <a:gd name="connsiteX49" fmla="*/ 68580 w 1619250"/>
              <a:gd name="connsiteY49" fmla="*/ 1192530 h 2026920"/>
              <a:gd name="connsiteX50" fmla="*/ 0 w 1619250"/>
              <a:gd name="connsiteY50" fmla="*/ 1371600 h 2026920"/>
              <a:gd name="connsiteX51" fmla="*/ 0 w 1619250"/>
              <a:gd name="connsiteY51" fmla="*/ 1379220 h 2026920"/>
              <a:gd name="connsiteX52" fmla="*/ 53340 w 1619250"/>
              <a:gd name="connsiteY52" fmla="*/ 1402080 h 2026920"/>
              <a:gd name="connsiteX53" fmla="*/ 68580 w 1619250"/>
              <a:gd name="connsiteY53" fmla="*/ 1459230 h 2026920"/>
              <a:gd name="connsiteX54" fmla="*/ 102870 w 1619250"/>
              <a:gd name="connsiteY54" fmla="*/ 1451610 h 2026920"/>
              <a:gd name="connsiteX55" fmla="*/ 118110 w 1619250"/>
              <a:gd name="connsiteY55" fmla="*/ 1531620 h 2026920"/>
              <a:gd name="connsiteX56" fmla="*/ 148590 w 1619250"/>
              <a:gd name="connsiteY56" fmla="*/ 1550670 h 2026920"/>
              <a:gd name="connsiteX57" fmla="*/ 281940 w 1619250"/>
              <a:gd name="connsiteY57" fmla="*/ 1539240 h 2026920"/>
              <a:gd name="connsiteX58" fmla="*/ 274320 w 1619250"/>
              <a:gd name="connsiteY58" fmla="*/ 1501140 h 2026920"/>
              <a:gd name="connsiteX59" fmla="*/ 335280 w 1619250"/>
              <a:gd name="connsiteY59" fmla="*/ 1543050 h 2026920"/>
              <a:gd name="connsiteX60" fmla="*/ 342900 w 1619250"/>
              <a:gd name="connsiteY60" fmla="*/ 1592580 h 2026920"/>
              <a:gd name="connsiteX61" fmla="*/ 457200 w 1619250"/>
              <a:gd name="connsiteY61" fmla="*/ 1752600 h 2026920"/>
              <a:gd name="connsiteX62" fmla="*/ 441960 w 1619250"/>
              <a:gd name="connsiteY62" fmla="*/ 1821180 h 2026920"/>
              <a:gd name="connsiteX63" fmla="*/ 499110 w 1619250"/>
              <a:gd name="connsiteY63" fmla="*/ 1874520 h 2026920"/>
              <a:gd name="connsiteX64" fmla="*/ 541020 w 1619250"/>
              <a:gd name="connsiteY64" fmla="*/ 1878330 h 2026920"/>
              <a:gd name="connsiteX65" fmla="*/ 563880 w 1619250"/>
              <a:gd name="connsiteY65" fmla="*/ 1946910 h 2026920"/>
              <a:gd name="connsiteX66" fmla="*/ 601980 w 1619250"/>
              <a:gd name="connsiteY66" fmla="*/ 1958340 h 2026920"/>
              <a:gd name="connsiteX67" fmla="*/ 586740 w 1619250"/>
              <a:gd name="connsiteY67" fmla="*/ 2000250 h 2026920"/>
              <a:gd name="connsiteX68" fmla="*/ 624840 w 1619250"/>
              <a:gd name="connsiteY68" fmla="*/ 2015490 h 2026920"/>
              <a:gd name="connsiteX69" fmla="*/ 685800 w 1619250"/>
              <a:gd name="connsiteY69" fmla="*/ 1996440 h 2026920"/>
              <a:gd name="connsiteX70" fmla="*/ 716280 w 1619250"/>
              <a:gd name="connsiteY70" fmla="*/ 2026920 h 2026920"/>
              <a:gd name="connsiteX71" fmla="*/ 750570 w 1619250"/>
              <a:gd name="connsiteY71" fmla="*/ 1988820 h 2026920"/>
              <a:gd name="connsiteX72" fmla="*/ 899160 w 1619250"/>
              <a:gd name="connsiteY72" fmla="*/ 1985010 h 2026920"/>
              <a:gd name="connsiteX73" fmla="*/ 922020 w 1619250"/>
              <a:gd name="connsiteY73" fmla="*/ 1950720 h 2026920"/>
              <a:gd name="connsiteX74" fmla="*/ 1082040 w 1619250"/>
              <a:gd name="connsiteY74" fmla="*/ 1981200 h 2026920"/>
              <a:gd name="connsiteX75" fmla="*/ 1127760 w 1619250"/>
              <a:gd name="connsiteY75" fmla="*/ 1973580 h 2026920"/>
              <a:gd name="connsiteX76" fmla="*/ 1192530 w 1619250"/>
              <a:gd name="connsiteY76" fmla="*/ 1977390 h 2026920"/>
              <a:gd name="connsiteX77" fmla="*/ 1223010 w 1619250"/>
              <a:gd name="connsiteY77" fmla="*/ 1901190 h 2026920"/>
              <a:gd name="connsiteX78" fmla="*/ 1337310 w 1619250"/>
              <a:gd name="connsiteY78" fmla="*/ 1893570 h 2026920"/>
              <a:gd name="connsiteX79" fmla="*/ 1363980 w 1619250"/>
              <a:gd name="connsiteY79" fmla="*/ 1863090 h 2026920"/>
              <a:gd name="connsiteX80" fmla="*/ 1341120 w 1619250"/>
              <a:gd name="connsiteY80" fmla="*/ 1794510 h 2026920"/>
              <a:gd name="connsiteX81" fmla="*/ 1367790 w 1619250"/>
              <a:gd name="connsiteY81" fmla="*/ 1767840 h 2026920"/>
              <a:gd name="connsiteX82" fmla="*/ 1478280 w 1619250"/>
              <a:gd name="connsiteY82" fmla="*/ 1729740 h 2026920"/>
              <a:gd name="connsiteX83" fmla="*/ 1539240 w 1619250"/>
              <a:gd name="connsiteY83" fmla="*/ 1680210 h 2026920"/>
              <a:gd name="connsiteX84" fmla="*/ 1588770 w 1619250"/>
              <a:gd name="connsiteY84" fmla="*/ 1684020 h 2026920"/>
              <a:gd name="connsiteX85" fmla="*/ 1611630 w 1619250"/>
              <a:gd name="connsiteY85" fmla="*/ 1497330 h 2026920"/>
              <a:gd name="connsiteX86" fmla="*/ 1581150 w 1619250"/>
              <a:gd name="connsiteY86" fmla="*/ 1466850 h 2026920"/>
              <a:gd name="connsiteX87" fmla="*/ 1581150 w 1619250"/>
              <a:gd name="connsiteY87" fmla="*/ 1413510 h 2026920"/>
              <a:gd name="connsiteX88" fmla="*/ 1531620 w 1619250"/>
              <a:gd name="connsiteY88" fmla="*/ 1295400 h 2026920"/>
              <a:gd name="connsiteX89" fmla="*/ 1497330 w 1619250"/>
              <a:gd name="connsiteY89" fmla="*/ 1268730 h 2026920"/>
              <a:gd name="connsiteX90" fmla="*/ 1516380 w 1619250"/>
              <a:gd name="connsiteY90" fmla="*/ 1203960 h 2026920"/>
              <a:gd name="connsiteX91" fmla="*/ 1501140 w 1619250"/>
              <a:gd name="connsiteY91" fmla="*/ 1127760 h 2026920"/>
              <a:gd name="connsiteX92" fmla="*/ 1508760 w 1619250"/>
              <a:gd name="connsiteY92" fmla="*/ 1089660 h 2026920"/>
              <a:gd name="connsiteX93" fmla="*/ 1550670 w 1619250"/>
              <a:gd name="connsiteY93" fmla="*/ 1074420 h 2026920"/>
              <a:gd name="connsiteX94" fmla="*/ 1524000 w 1619250"/>
              <a:gd name="connsiteY94" fmla="*/ 1002030 h 2026920"/>
              <a:gd name="connsiteX95" fmla="*/ 1489710 w 1619250"/>
              <a:gd name="connsiteY95" fmla="*/ 960120 h 2026920"/>
              <a:gd name="connsiteX96" fmla="*/ 1489710 w 1619250"/>
              <a:gd name="connsiteY96" fmla="*/ 956310 h 2026920"/>
              <a:gd name="connsiteX97" fmla="*/ 1546860 w 1619250"/>
              <a:gd name="connsiteY97" fmla="*/ 914400 h 2026920"/>
              <a:gd name="connsiteX98" fmla="*/ 1569720 w 1619250"/>
              <a:gd name="connsiteY98" fmla="*/ 887730 h 2026920"/>
              <a:gd name="connsiteX99" fmla="*/ 1558290 w 1619250"/>
              <a:gd name="connsiteY99" fmla="*/ 853440 h 2026920"/>
              <a:gd name="connsiteX100" fmla="*/ 1619250 w 1619250"/>
              <a:gd name="connsiteY100" fmla="*/ 773430 h 2026920"/>
              <a:gd name="connsiteX101" fmla="*/ 1619250 w 1619250"/>
              <a:gd name="connsiteY101" fmla="*/ 720090 h 2026920"/>
              <a:gd name="connsiteX102" fmla="*/ 1535430 w 1619250"/>
              <a:gd name="connsiteY102" fmla="*/ 613410 h 2026920"/>
              <a:gd name="connsiteX0" fmla="*/ 1535430 w 1619250"/>
              <a:gd name="connsiteY0" fmla="*/ 613410 h 2026920"/>
              <a:gd name="connsiteX1" fmla="*/ 1375410 w 1619250"/>
              <a:gd name="connsiteY1" fmla="*/ 647700 h 2026920"/>
              <a:gd name="connsiteX2" fmla="*/ 1280160 w 1619250"/>
              <a:gd name="connsiteY2" fmla="*/ 636270 h 2026920"/>
              <a:gd name="connsiteX3" fmla="*/ 1314450 w 1619250"/>
              <a:gd name="connsiteY3" fmla="*/ 617220 h 2026920"/>
              <a:gd name="connsiteX4" fmla="*/ 1318260 w 1619250"/>
              <a:gd name="connsiteY4" fmla="*/ 582930 h 2026920"/>
              <a:gd name="connsiteX5" fmla="*/ 1264920 w 1619250"/>
              <a:gd name="connsiteY5" fmla="*/ 525780 h 2026920"/>
              <a:gd name="connsiteX6" fmla="*/ 1261110 w 1619250"/>
              <a:gd name="connsiteY6" fmla="*/ 491490 h 2026920"/>
              <a:gd name="connsiteX7" fmla="*/ 1219200 w 1619250"/>
              <a:gd name="connsiteY7" fmla="*/ 476250 h 2026920"/>
              <a:gd name="connsiteX8" fmla="*/ 1165860 w 1619250"/>
              <a:gd name="connsiteY8" fmla="*/ 506730 h 2026920"/>
              <a:gd name="connsiteX9" fmla="*/ 1154430 w 1619250"/>
              <a:gd name="connsiteY9" fmla="*/ 464820 h 2026920"/>
              <a:gd name="connsiteX10" fmla="*/ 1120140 w 1619250"/>
              <a:gd name="connsiteY10" fmla="*/ 510540 h 2026920"/>
              <a:gd name="connsiteX11" fmla="*/ 1028700 w 1619250"/>
              <a:gd name="connsiteY11" fmla="*/ 510540 h 2026920"/>
              <a:gd name="connsiteX12" fmla="*/ 990600 w 1619250"/>
              <a:gd name="connsiteY12" fmla="*/ 384810 h 2026920"/>
              <a:gd name="connsiteX13" fmla="*/ 967740 w 1619250"/>
              <a:gd name="connsiteY13" fmla="*/ 392430 h 2026920"/>
              <a:gd name="connsiteX14" fmla="*/ 937260 w 1619250"/>
              <a:gd name="connsiteY14" fmla="*/ 346710 h 2026920"/>
              <a:gd name="connsiteX15" fmla="*/ 914400 w 1619250"/>
              <a:gd name="connsiteY15" fmla="*/ 281940 h 2026920"/>
              <a:gd name="connsiteX16" fmla="*/ 842010 w 1619250"/>
              <a:gd name="connsiteY16" fmla="*/ 224790 h 2026920"/>
              <a:gd name="connsiteX17" fmla="*/ 830580 w 1619250"/>
              <a:gd name="connsiteY17" fmla="*/ 217170 h 2026920"/>
              <a:gd name="connsiteX18" fmla="*/ 830580 w 1619250"/>
              <a:gd name="connsiteY18" fmla="*/ 76200 h 2026920"/>
              <a:gd name="connsiteX19" fmla="*/ 777240 w 1619250"/>
              <a:gd name="connsiteY19" fmla="*/ 11430 h 2026920"/>
              <a:gd name="connsiteX20" fmla="*/ 773430 w 1619250"/>
              <a:gd name="connsiteY20" fmla="*/ 0 h 2026920"/>
              <a:gd name="connsiteX21" fmla="*/ 716280 w 1619250"/>
              <a:gd name="connsiteY21" fmla="*/ 76200 h 2026920"/>
              <a:gd name="connsiteX22" fmla="*/ 708660 w 1619250"/>
              <a:gd name="connsiteY22" fmla="*/ 118110 h 2026920"/>
              <a:gd name="connsiteX23" fmla="*/ 628650 w 1619250"/>
              <a:gd name="connsiteY23" fmla="*/ 133350 h 2026920"/>
              <a:gd name="connsiteX24" fmla="*/ 598170 w 1619250"/>
              <a:gd name="connsiteY24" fmla="*/ 114300 h 2026920"/>
              <a:gd name="connsiteX25" fmla="*/ 525780 w 1619250"/>
              <a:gd name="connsiteY25" fmla="*/ 156210 h 2026920"/>
              <a:gd name="connsiteX26" fmla="*/ 468630 w 1619250"/>
              <a:gd name="connsiteY26" fmla="*/ 167640 h 2026920"/>
              <a:gd name="connsiteX27" fmla="*/ 468630 w 1619250"/>
              <a:gd name="connsiteY27" fmla="*/ 167640 h 2026920"/>
              <a:gd name="connsiteX28" fmla="*/ 449580 w 1619250"/>
              <a:gd name="connsiteY28" fmla="*/ 163830 h 2026920"/>
              <a:gd name="connsiteX29" fmla="*/ 426720 w 1619250"/>
              <a:gd name="connsiteY29" fmla="*/ 198120 h 2026920"/>
              <a:gd name="connsiteX30" fmla="*/ 430530 w 1619250"/>
              <a:gd name="connsiteY30" fmla="*/ 247650 h 2026920"/>
              <a:gd name="connsiteX31" fmla="*/ 483870 w 1619250"/>
              <a:gd name="connsiteY31" fmla="*/ 297180 h 2026920"/>
              <a:gd name="connsiteX32" fmla="*/ 487680 w 1619250"/>
              <a:gd name="connsiteY32" fmla="*/ 422910 h 2026920"/>
              <a:gd name="connsiteX33" fmla="*/ 400050 w 1619250"/>
              <a:gd name="connsiteY33" fmla="*/ 468630 h 2026920"/>
              <a:gd name="connsiteX34" fmla="*/ 392430 w 1619250"/>
              <a:gd name="connsiteY34" fmla="*/ 487680 h 2026920"/>
              <a:gd name="connsiteX35" fmla="*/ 400050 w 1619250"/>
              <a:gd name="connsiteY35" fmla="*/ 571500 h 2026920"/>
              <a:gd name="connsiteX36" fmla="*/ 422910 w 1619250"/>
              <a:gd name="connsiteY36" fmla="*/ 621030 h 2026920"/>
              <a:gd name="connsiteX37" fmla="*/ 426720 w 1619250"/>
              <a:gd name="connsiteY37" fmla="*/ 628650 h 2026920"/>
              <a:gd name="connsiteX38" fmla="*/ 426720 w 1619250"/>
              <a:gd name="connsiteY38" fmla="*/ 640080 h 2026920"/>
              <a:gd name="connsiteX39" fmla="*/ 411480 w 1619250"/>
              <a:gd name="connsiteY39" fmla="*/ 670560 h 2026920"/>
              <a:gd name="connsiteX40" fmla="*/ 426720 w 1619250"/>
              <a:gd name="connsiteY40" fmla="*/ 704850 h 2026920"/>
              <a:gd name="connsiteX41" fmla="*/ 422910 w 1619250"/>
              <a:gd name="connsiteY41" fmla="*/ 765810 h 2026920"/>
              <a:gd name="connsiteX42" fmla="*/ 350520 w 1619250"/>
              <a:gd name="connsiteY42" fmla="*/ 906780 h 2026920"/>
              <a:gd name="connsiteX43" fmla="*/ 316230 w 1619250"/>
              <a:gd name="connsiteY43" fmla="*/ 906780 h 2026920"/>
              <a:gd name="connsiteX44" fmla="*/ 297180 w 1619250"/>
              <a:gd name="connsiteY44" fmla="*/ 967740 h 2026920"/>
              <a:gd name="connsiteX45" fmla="*/ 217170 w 1619250"/>
              <a:gd name="connsiteY45" fmla="*/ 1028700 h 2026920"/>
              <a:gd name="connsiteX46" fmla="*/ 167640 w 1619250"/>
              <a:gd name="connsiteY46" fmla="*/ 1021080 h 2026920"/>
              <a:gd name="connsiteX47" fmla="*/ 179070 w 1619250"/>
              <a:gd name="connsiteY47" fmla="*/ 1062990 h 2026920"/>
              <a:gd name="connsiteX48" fmla="*/ 99060 w 1619250"/>
              <a:gd name="connsiteY48" fmla="*/ 1036320 h 2026920"/>
              <a:gd name="connsiteX49" fmla="*/ 68580 w 1619250"/>
              <a:gd name="connsiteY49" fmla="*/ 1192530 h 2026920"/>
              <a:gd name="connsiteX50" fmla="*/ 0 w 1619250"/>
              <a:gd name="connsiteY50" fmla="*/ 1371600 h 2026920"/>
              <a:gd name="connsiteX51" fmla="*/ 0 w 1619250"/>
              <a:gd name="connsiteY51" fmla="*/ 1379220 h 2026920"/>
              <a:gd name="connsiteX52" fmla="*/ 53340 w 1619250"/>
              <a:gd name="connsiteY52" fmla="*/ 1402080 h 2026920"/>
              <a:gd name="connsiteX53" fmla="*/ 68580 w 1619250"/>
              <a:gd name="connsiteY53" fmla="*/ 1459230 h 2026920"/>
              <a:gd name="connsiteX54" fmla="*/ 102870 w 1619250"/>
              <a:gd name="connsiteY54" fmla="*/ 1451610 h 2026920"/>
              <a:gd name="connsiteX55" fmla="*/ 118110 w 1619250"/>
              <a:gd name="connsiteY55" fmla="*/ 1531620 h 2026920"/>
              <a:gd name="connsiteX56" fmla="*/ 148590 w 1619250"/>
              <a:gd name="connsiteY56" fmla="*/ 1550670 h 2026920"/>
              <a:gd name="connsiteX57" fmla="*/ 281940 w 1619250"/>
              <a:gd name="connsiteY57" fmla="*/ 1539240 h 2026920"/>
              <a:gd name="connsiteX58" fmla="*/ 274320 w 1619250"/>
              <a:gd name="connsiteY58" fmla="*/ 1501140 h 2026920"/>
              <a:gd name="connsiteX59" fmla="*/ 335280 w 1619250"/>
              <a:gd name="connsiteY59" fmla="*/ 1543050 h 2026920"/>
              <a:gd name="connsiteX60" fmla="*/ 342900 w 1619250"/>
              <a:gd name="connsiteY60" fmla="*/ 1592580 h 2026920"/>
              <a:gd name="connsiteX61" fmla="*/ 457200 w 1619250"/>
              <a:gd name="connsiteY61" fmla="*/ 1752600 h 2026920"/>
              <a:gd name="connsiteX62" fmla="*/ 441960 w 1619250"/>
              <a:gd name="connsiteY62" fmla="*/ 1821180 h 2026920"/>
              <a:gd name="connsiteX63" fmla="*/ 499110 w 1619250"/>
              <a:gd name="connsiteY63" fmla="*/ 1874520 h 2026920"/>
              <a:gd name="connsiteX64" fmla="*/ 541020 w 1619250"/>
              <a:gd name="connsiteY64" fmla="*/ 1878330 h 2026920"/>
              <a:gd name="connsiteX65" fmla="*/ 563880 w 1619250"/>
              <a:gd name="connsiteY65" fmla="*/ 1946910 h 2026920"/>
              <a:gd name="connsiteX66" fmla="*/ 601980 w 1619250"/>
              <a:gd name="connsiteY66" fmla="*/ 1958340 h 2026920"/>
              <a:gd name="connsiteX67" fmla="*/ 586740 w 1619250"/>
              <a:gd name="connsiteY67" fmla="*/ 2000250 h 2026920"/>
              <a:gd name="connsiteX68" fmla="*/ 624840 w 1619250"/>
              <a:gd name="connsiteY68" fmla="*/ 2015490 h 2026920"/>
              <a:gd name="connsiteX69" fmla="*/ 685800 w 1619250"/>
              <a:gd name="connsiteY69" fmla="*/ 1996440 h 2026920"/>
              <a:gd name="connsiteX70" fmla="*/ 716280 w 1619250"/>
              <a:gd name="connsiteY70" fmla="*/ 2026920 h 2026920"/>
              <a:gd name="connsiteX71" fmla="*/ 750570 w 1619250"/>
              <a:gd name="connsiteY71" fmla="*/ 1988820 h 2026920"/>
              <a:gd name="connsiteX72" fmla="*/ 899160 w 1619250"/>
              <a:gd name="connsiteY72" fmla="*/ 1985010 h 2026920"/>
              <a:gd name="connsiteX73" fmla="*/ 922020 w 1619250"/>
              <a:gd name="connsiteY73" fmla="*/ 1950720 h 2026920"/>
              <a:gd name="connsiteX74" fmla="*/ 1082040 w 1619250"/>
              <a:gd name="connsiteY74" fmla="*/ 1981200 h 2026920"/>
              <a:gd name="connsiteX75" fmla="*/ 1127760 w 1619250"/>
              <a:gd name="connsiteY75" fmla="*/ 1973580 h 2026920"/>
              <a:gd name="connsiteX76" fmla="*/ 1192530 w 1619250"/>
              <a:gd name="connsiteY76" fmla="*/ 1977390 h 2026920"/>
              <a:gd name="connsiteX77" fmla="*/ 1223010 w 1619250"/>
              <a:gd name="connsiteY77" fmla="*/ 1901190 h 2026920"/>
              <a:gd name="connsiteX78" fmla="*/ 1337310 w 1619250"/>
              <a:gd name="connsiteY78" fmla="*/ 1893570 h 2026920"/>
              <a:gd name="connsiteX79" fmla="*/ 1396535 w 1619250"/>
              <a:gd name="connsiteY79" fmla="*/ 1846960 h 2026920"/>
              <a:gd name="connsiteX80" fmla="*/ 1341120 w 1619250"/>
              <a:gd name="connsiteY80" fmla="*/ 1794510 h 2026920"/>
              <a:gd name="connsiteX81" fmla="*/ 1367790 w 1619250"/>
              <a:gd name="connsiteY81" fmla="*/ 1767840 h 2026920"/>
              <a:gd name="connsiteX82" fmla="*/ 1478280 w 1619250"/>
              <a:gd name="connsiteY82" fmla="*/ 1729740 h 2026920"/>
              <a:gd name="connsiteX83" fmla="*/ 1539240 w 1619250"/>
              <a:gd name="connsiteY83" fmla="*/ 1680210 h 2026920"/>
              <a:gd name="connsiteX84" fmla="*/ 1588770 w 1619250"/>
              <a:gd name="connsiteY84" fmla="*/ 1684020 h 2026920"/>
              <a:gd name="connsiteX85" fmla="*/ 1611630 w 1619250"/>
              <a:gd name="connsiteY85" fmla="*/ 1497330 h 2026920"/>
              <a:gd name="connsiteX86" fmla="*/ 1581150 w 1619250"/>
              <a:gd name="connsiteY86" fmla="*/ 1466850 h 2026920"/>
              <a:gd name="connsiteX87" fmla="*/ 1581150 w 1619250"/>
              <a:gd name="connsiteY87" fmla="*/ 1413510 h 2026920"/>
              <a:gd name="connsiteX88" fmla="*/ 1531620 w 1619250"/>
              <a:gd name="connsiteY88" fmla="*/ 1295400 h 2026920"/>
              <a:gd name="connsiteX89" fmla="*/ 1497330 w 1619250"/>
              <a:gd name="connsiteY89" fmla="*/ 1268730 h 2026920"/>
              <a:gd name="connsiteX90" fmla="*/ 1516380 w 1619250"/>
              <a:gd name="connsiteY90" fmla="*/ 1203960 h 2026920"/>
              <a:gd name="connsiteX91" fmla="*/ 1501140 w 1619250"/>
              <a:gd name="connsiteY91" fmla="*/ 1127760 h 2026920"/>
              <a:gd name="connsiteX92" fmla="*/ 1508760 w 1619250"/>
              <a:gd name="connsiteY92" fmla="*/ 1089660 h 2026920"/>
              <a:gd name="connsiteX93" fmla="*/ 1550670 w 1619250"/>
              <a:gd name="connsiteY93" fmla="*/ 1074420 h 2026920"/>
              <a:gd name="connsiteX94" fmla="*/ 1524000 w 1619250"/>
              <a:gd name="connsiteY94" fmla="*/ 1002030 h 2026920"/>
              <a:gd name="connsiteX95" fmla="*/ 1489710 w 1619250"/>
              <a:gd name="connsiteY95" fmla="*/ 960120 h 2026920"/>
              <a:gd name="connsiteX96" fmla="*/ 1489710 w 1619250"/>
              <a:gd name="connsiteY96" fmla="*/ 956310 h 2026920"/>
              <a:gd name="connsiteX97" fmla="*/ 1546860 w 1619250"/>
              <a:gd name="connsiteY97" fmla="*/ 914400 h 2026920"/>
              <a:gd name="connsiteX98" fmla="*/ 1569720 w 1619250"/>
              <a:gd name="connsiteY98" fmla="*/ 887730 h 2026920"/>
              <a:gd name="connsiteX99" fmla="*/ 1558290 w 1619250"/>
              <a:gd name="connsiteY99" fmla="*/ 853440 h 2026920"/>
              <a:gd name="connsiteX100" fmla="*/ 1619250 w 1619250"/>
              <a:gd name="connsiteY100" fmla="*/ 773430 h 2026920"/>
              <a:gd name="connsiteX101" fmla="*/ 1619250 w 1619250"/>
              <a:gd name="connsiteY101" fmla="*/ 720090 h 2026920"/>
              <a:gd name="connsiteX102" fmla="*/ 1535430 w 1619250"/>
              <a:gd name="connsiteY102" fmla="*/ 613410 h 2026920"/>
              <a:gd name="connsiteX0" fmla="*/ 1535430 w 1619250"/>
              <a:gd name="connsiteY0" fmla="*/ 613410 h 2026920"/>
              <a:gd name="connsiteX1" fmla="*/ 1375410 w 1619250"/>
              <a:gd name="connsiteY1" fmla="*/ 647700 h 2026920"/>
              <a:gd name="connsiteX2" fmla="*/ 1280160 w 1619250"/>
              <a:gd name="connsiteY2" fmla="*/ 636270 h 2026920"/>
              <a:gd name="connsiteX3" fmla="*/ 1314450 w 1619250"/>
              <a:gd name="connsiteY3" fmla="*/ 617220 h 2026920"/>
              <a:gd name="connsiteX4" fmla="*/ 1318260 w 1619250"/>
              <a:gd name="connsiteY4" fmla="*/ 582930 h 2026920"/>
              <a:gd name="connsiteX5" fmla="*/ 1264920 w 1619250"/>
              <a:gd name="connsiteY5" fmla="*/ 525780 h 2026920"/>
              <a:gd name="connsiteX6" fmla="*/ 1261110 w 1619250"/>
              <a:gd name="connsiteY6" fmla="*/ 491490 h 2026920"/>
              <a:gd name="connsiteX7" fmla="*/ 1219200 w 1619250"/>
              <a:gd name="connsiteY7" fmla="*/ 476250 h 2026920"/>
              <a:gd name="connsiteX8" fmla="*/ 1165860 w 1619250"/>
              <a:gd name="connsiteY8" fmla="*/ 506730 h 2026920"/>
              <a:gd name="connsiteX9" fmla="*/ 1154430 w 1619250"/>
              <a:gd name="connsiteY9" fmla="*/ 464820 h 2026920"/>
              <a:gd name="connsiteX10" fmla="*/ 1120140 w 1619250"/>
              <a:gd name="connsiteY10" fmla="*/ 510540 h 2026920"/>
              <a:gd name="connsiteX11" fmla="*/ 1028700 w 1619250"/>
              <a:gd name="connsiteY11" fmla="*/ 510540 h 2026920"/>
              <a:gd name="connsiteX12" fmla="*/ 990600 w 1619250"/>
              <a:gd name="connsiteY12" fmla="*/ 384810 h 2026920"/>
              <a:gd name="connsiteX13" fmla="*/ 967740 w 1619250"/>
              <a:gd name="connsiteY13" fmla="*/ 392430 h 2026920"/>
              <a:gd name="connsiteX14" fmla="*/ 937260 w 1619250"/>
              <a:gd name="connsiteY14" fmla="*/ 346710 h 2026920"/>
              <a:gd name="connsiteX15" fmla="*/ 914400 w 1619250"/>
              <a:gd name="connsiteY15" fmla="*/ 281940 h 2026920"/>
              <a:gd name="connsiteX16" fmla="*/ 842010 w 1619250"/>
              <a:gd name="connsiteY16" fmla="*/ 224790 h 2026920"/>
              <a:gd name="connsiteX17" fmla="*/ 830580 w 1619250"/>
              <a:gd name="connsiteY17" fmla="*/ 217170 h 2026920"/>
              <a:gd name="connsiteX18" fmla="*/ 830580 w 1619250"/>
              <a:gd name="connsiteY18" fmla="*/ 76200 h 2026920"/>
              <a:gd name="connsiteX19" fmla="*/ 777240 w 1619250"/>
              <a:gd name="connsiteY19" fmla="*/ 11430 h 2026920"/>
              <a:gd name="connsiteX20" fmla="*/ 773430 w 1619250"/>
              <a:gd name="connsiteY20" fmla="*/ 0 h 2026920"/>
              <a:gd name="connsiteX21" fmla="*/ 716280 w 1619250"/>
              <a:gd name="connsiteY21" fmla="*/ 76200 h 2026920"/>
              <a:gd name="connsiteX22" fmla="*/ 708660 w 1619250"/>
              <a:gd name="connsiteY22" fmla="*/ 118110 h 2026920"/>
              <a:gd name="connsiteX23" fmla="*/ 628650 w 1619250"/>
              <a:gd name="connsiteY23" fmla="*/ 133350 h 2026920"/>
              <a:gd name="connsiteX24" fmla="*/ 598170 w 1619250"/>
              <a:gd name="connsiteY24" fmla="*/ 114300 h 2026920"/>
              <a:gd name="connsiteX25" fmla="*/ 525780 w 1619250"/>
              <a:gd name="connsiteY25" fmla="*/ 156210 h 2026920"/>
              <a:gd name="connsiteX26" fmla="*/ 468630 w 1619250"/>
              <a:gd name="connsiteY26" fmla="*/ 167640 h 2026920"/>
              <a:gd name="connsiteX27" fmla="*/ 468630 w 1619250"/>
              <a:gd name="connsiteY27" fmla="*/ 167640 h 2026920"/>
              <a:gd name="connsiteX28" fmla="*/ 449580 w 1619250"/>
              <a:gd name="connsiteY28" fmla="*/ 163830 h 2026920"/>
              <a:gd name="connsiteX29" fmla="*/ 426720 w 1619250"/>
              <a:gd name="connsiteY29" fmla="*/ 198120 h 2026920"/>
              <a:gd name="connsiteX30" fmla="*/ 430530 w 1619250"/>
              <a:gd name="connsiteY30" fmla="*/ 247650 h 2026920"/>
              <a:gd name="connsiteX31" fmla="*/ 483870 w 1619250"/>
              <a:gd name="connsiteY31" fmla="*/ 297180 h 2026920"/>
              <a:gd name="connsiteX32" fmla="*/ 487680 w 1619250"/>
              <a:gd name="connsiteY32" fmla="*/ 422910 h 2026920"/>
              <a:gd name="connsiteX33" fmla="*/ 400050 w 1619250"/>
              <a:gd name="connsiteY33" fmla="*/ 468630 h 2026920"/>
              <a:gd name="connsiteX34" fmla="*/ 392430 w 1619250"/>
              <a:gd name="connsiteY34" fmla="*/ 487680 h 2026920"/>
              <a:gd name="connsiteX35" fmla="*/ 400050 w 1619250"/>
              <a:gd name="connsiteY35" fmla="*/ 571500 h 2026920"/>
              <a:gd name="connsiteX36" fmla="*/ 422910 w 1619250"/>
              <a:gd name="connsiteY36" fmla="*/ 621030 h 2026920"/>
              <a:gd name="connsiteX37" fmla="*/ 426720 w 1619250"/>
              <a:gd name="connsiteY37" fmla="*/ 628650 h 2026920"/>
              <a:gd name="connsiteX38" fmla="*/ 426720 w 1619250"/>
              <a:gd name="connsiteY38" fmla="*/ 640080 h 2026920"/>
              <a:gd name="connsiteX39" fmla="*/ 411480 w 1619250"/>
              <a:gd name="connsiteY39" fmla="*/ 670560 h 2026920"/>
              <a:gd name="connsiteX40" fmla="*/ 426720 w 1619250"/>
              <a:gd name="connsiteY40" fmla="*/ 704850 h 2026920"/>
              <a:gd name="connsiteX41" fmla="*/ 422910 w 1619250"/>
              <a:gd name="connsiteY41" fmla="*/ 765810 h 2026920"/>
              <a:gd name="connsiteX42" fmla="*/ 350520 w 1619250"/>
              <a:gd name="connsiteY42" fmla="*/ 906780 h 2026920"/>
              <a:gd name="connsiteX43" fmla="*/ 316230 w 1619250"/>
              <a:gd name="connsiteY43" fmla="*/ 906780 h 2026920"/>
              <a:gd name="connsiteX44" fmla="*/ 297180 w 1619250"/>
              <a:gd name="connsiteY44" fmla="*/ 967740 h 2026920"/>
              <a:gd name="connsiteX45" fmla="*/ 217170 w 1619250"/>
              <a:gd name="connsiteY45" fmla="*/ 1028700 h 2026920"/>
              <a:gd name="connsiteX46" fmla="*/ 167640 w 1619250"/>
              <a:gd name="connsiteY46" fmla="*/ 1021080 h 2026920"/>
              <a:gd name="connsiteX47" fmla="*/ 179070 w 1619250"/>
              <a:gd name="connsiteY47" fmla="*/ 1062990 h 2026920"/>
              <a:gd name="connsiteX48" fmla="*/ 99060 w 1619250"/>
              <a:gd name="connsiteY48" fmla="*/ 1036320 h 2026920"/>
              <a:gd name="connsiteX49" fmla="*/ 68580 w 1619250"/>
              <a:gd name="connsiteY49" fmla="*/ 1192530 h 2026920"/>
              <a:gd name="connsiteX50" fmla="*/ 0 w 1619250"/>
              <a:gd name="connsiteY50" fmla="*/ 1371600 h 2026920"/>
              <a:gd name="connsiteX51" fmla="*/ 0 w 1619250"/>
              <a:gd name="connsiteY51" fmla="*/ 1379220 h 2026920"/>
              <a:gd name="connsiteX52" fmla="*/ 53340 w 1619250"/>
              <a:gd name="connsiteY52" fmla="*/ 1402080 h 2026920"/>
              <a:gd name="connsiteX53" fmla="*/ 68580 w 1619250"/>
              <a:gd name="connsiteY53" fmla="*/ 1459230 h 2026920"/>
              <a:gd name="connsiteX54" fmla="*/ 102870 w 1619250"/>
              <a:gd name="connsiteY54" fmla="*/ 1451610 h 2026920"/>
              <a:gd name="connsiteX55" fmla="*/ 118110 w 1619250"/>
              <a:gd name="connsiteY55" fmla="*/ 1531620 h 2026920"/>
              <a:gd name="connsiteX56" fmla="*/ 148590 w 1619250"/>
              <a:gd name="connsiteY56" fmla="*/ 1550670 h 2026920"/>
              <a:gd name="connsiteX57" fmla="*/ 281940 w 1619250"/>
              <a:gd name="connsiteY57" fmla="*/ 1539240 h 2026920"/>
              <a:gd name="connsiteX58" fmla="*/ 274320 w 1619250"/>
              <a:gd name="connsiteY58" fmla="*/ 1501140 h 2026920"/>
              <a:gd name="connsiteX59" fmla="*/ 335280 w 1619250"/>
              <a:gd name="connsiteY59" fmla="*/ 1543050 h 2026920"/>
              <a:gd name="connsiteX60" fmla="*/ 342900 w 1619250"/>
              <a:gd name="connsiteY60" fmla="*/ 1592580 h 2026920"/>
              <a:gd name="connsiteX61" fmla="*/ 457200 w 1619250"/>
              <a:gd name="connsiteY61" fmla="*/ 1752600 h 2026920"/>
              <a:gd name="connsiteX62" fmla="*/ 441960 w 1619250"/>
              <a:gd name="connsiteY62" fmla="*/ 1821180 h 2026920"/>
              <a:gd name="connsiteX63" fmla="*/ 499110 w 1619250"/>
              <a:gd name="connsiteY63" fmla="*/ 1874520 h 2026920"/>
              <a:gd name="connsiteX64" fmla="*/ 541020 w 1619250"/>
              <a:gd name="connsiteY64" fmla="*/ 1878330 h 2026920"/>
              <a:gd name="connsiteX65" fmla="*/ 563880 w 1619250"/>
              <a:gd name="connsiteY65" fmla="*/ 1946910 h 2026920"/>
              <a:gd name="connsiteX66" fmla="*/ 601980 w 1619250"/>
              <a:gd name="connsiteY66" fmla="*/ 1958340 h 2026920"/>
              <a:gd name="connsiteX67" fmla="*/ 586740 w 1619250"/>
              <a:gd name="connsiteY67" fmla="*/ 2000250 h 2026920"/>
              <a:gd name="connsiteX68" fmla="*/ 624840 w 1619250"/>
              <a:gd name="connsiteY68" fmla="*/ 2015490 h 2026920"/>
              <a:gd name="connsiteX69" fmla="*/ 685800 w 1619250"/>
              <a:gd name="connsiteY69" fmla="*/ 1996440 h 2026920"/>
              <a:gd name="connsiteX70" fmla="*/ 716280 w 1619250"/>
              <a:gd name="connsiteY70" fmla="*/ 2026920 h 2026920"/>
              <a:gd name="connsiteX71" fmla="*/ 750570 w 1619250"/>
              <a:gd name="connsiteY71" fmla="*/ 1988820 h 2026920"/>
              <a:gd name="connsiteX72" fmla="*/ 899160 w 1619250"/>
              <a:gd name="connsiteY72" fmla="*/ 1985010 h 2026920"/>
              <a:gd name="connsiteX73" fmla="*/ 922020 w 1619250"/>
              <a:gd name="connsiteY73" fmla="*/ 1950720 h 2026920"/>
              <a:gd name="connsiteX74" fmla="*/ 1082040 w 1619250"/>
              <a:gd name="connsiteY74" fmla="*/ 1981200 h 2026920"/>
              <a:gd name="connsiteX75" fmla="*/ 1127760 w 1619250"/>
              <a:gd name="connsiteY75" fmla="*/ 1973580 h 2026920"/>
              <a:gd name="connsiteX76" fmla="*/ 1192530 w 1619250"/>
              <a:gd name="connsiteY76" fmla="*/ 1977390 h 2026920"/>
              <a:gd name="connsiteX77" fmla="*/ 1223010 w 1619250"/>
              <a:gd name="connsiteY77" fmla="*/ 1901190 h 2026920"/>
              <a:gd name="connsiteX78" fmla="*/ 1337310 w 1619250"/>
              <a:gd name="connsiteY78" fmla="*/ 1893570 h 2026920"/>
              <a:gd name="connsiteX79" fmla="*/ 1396535 w 1619250"/>
              <a:gd name="connsiteY79" fmla="*/ 1846960 h 2026920"/>
              <a:gd name="connsiteX80" fmla="*/ 1368250 w 1619250"/>
              <a:gd name="connsiteY80" fmla="*/ 1794510 h 2026920"/>
              <a:gd name="connsiteX81" fmla="*/ 1367790 w 1619250"/>
              <a:gd name="connsiteY81" fmla="*/ 1767840 h 2026920"/>
              <a:gd name="connsiteX82" fmla="*/ 1478280 w 1619250"/>
              <a:gd name="connsiteY82" fmla="*/ 1729740 h 2026920"/>
              <a:gd name="connsiteX83" fmla="*/ 1539240 w 1619250"/>
              <a:gd name="connsiteY83" fmla="*/ 1680210 h 2026920"/>
              <a:gd name="connsiteX84" fmla="*/ 1588770 w 1619250"/>
              <a:gd name="connsiteY84" fmla="*/ 1684020 h 2026920"/>
              <a:gd name="connsiteX85" fmla="*/ 1611630 w 1619250"/>
              <a:gd name="connsiteY85" fmla="*/ 1497330 h 2026920"/>
              <a:gd name="connsiteX86" fmla="*/ 1581150 w 1619250"/>
              <a:gd name="connsiteY86" fmla="*/ 1466850 h 2026920"/>
              <a:gd name="connsiteX87" fmla="*/ 1581150 w 1619250"/>
              <a:gd name="connsiteY87" fmla="*/ 1413510 h 2026920"/>
              <a:gd name="connsiteX88" fmla="*/ 1531620 w 1619250"/>
              <a:gd name="connsiteY88" fmla="*/ 1295400 h 2026920"/>
              <a:gd name="connsiteX89" fmla="*/ 1497330 w 1619250"/>
              <a:gd name="connsiteY89" fmla="*/ 1268730 h 2026920"/>
              <a:gd name="connsiteX90" fmla="*/ 1516380 w 1619250"/>
              <a:gd name="connsiteY90" fmla="*/ 1203960 h 2026920"/>
              <a:gd name="connsiteX91" fmla="*/ 1501140 w 1619250"/>
              <a:gd name="connsiteY91" fmla="*/ 1127760 h 2026920"/>
              <a:gd name="connsiteX92" fmla="*/ 1508760 w 1619250"/>
              <a:gd name="connsiteY92" fmla="*/ 1089660 h 2026920"/>
              <a:gd name="connsiteX93" fmla="*/ 1550670 w 1619250"/>
              <a:gd name="connsiteY93" fmla="*/ 1074420 h 2026920"/>
              <a:gd name="connsiteX94" fmla="*/ 1524000 w 1619250"/>
              <a:gd name="connsiteY94" fmla="*/ 1002030 h 2026920"/>
              <a:gd name="connsiteX95" fmla="*/ 1489710 w 1619250"/>
              <a:gd name="connsiteY95" fmla="*/ 960120 h 2026920"/>
              <a:gd name="connsiteX96" fmla="*/ 1489710 w 1619250"/>
              <a:gd name="connsiteY96" fmla="*/ 956310 h 2026920"/>
              <a:gd name="connsiteX97" fmla="*/ 1546860 w 1619250"/>
              <a:gd name="connsiteY97" fmla="*/ 914400 h 2026920"/>
              <a:gd name="connsiteX98" fmla="*/ 1569720 w 1619250"/>
              <a:gd name="connsiteY98" fmla="*/ 887730 h 2026920"/>
              <a:gd name="connsiteX99" fmla="*/ 1558290 w 1619250"/>
              <a:gd name="connsiteY99" fmla="*/ 853440 h 2026920"/>
              <a:gd name="connsiteX100" fmla="*/ 1619250 w 1619250"/>
              <a:gd name="connsiteY100" fmla="*/ 773430 h 2026920"/>
              <a:gd name="connsiteX101" fmla="*/ 1619250 w 1619250"/>
              <a:gd name="connsiteY101" fmla="*/ 720090 h 2026920"/>
              <a:gd name="connsiteX102" fmla="*/ 1535430 w 1619250"/>
              <a:gd name="connsiteY102" fmla="*/ 613410 h 2026920"/>
              <a:gd name="connsiteX0" fmla="*/ 1535430 w 1619250"/>
              <a:gd name="connsiteY0" fmla="*/ 613410 h 2026920"/>
              <a:gd name="connsiteX1" fmla="*/ 1375410 w 1619250"/>
              <a:gd name="connsiteY1" fmla="*/ 647700 h 2026920"/>
              <a:gd name="connsiteX2" fmla="*/ 1280160 w 1619250"/>
              <a:gd name="connsiteY2" fmla="*/ 636270 h 2026920"/>
              <a:gd name="connsiteX3" fmla="*/ 1314450 w 1619250"/>
              <a:gd name="connsiteY3" fmla="*/ 617220 h 2026920"/>
              <a:gd name="connsiteX4" fmla="*/ 1318260 w 1619250"/>
              <a:gd name="connsiteY4" fmla="*/ 582930 h 2026920"/>
              <a:gd name="connsiteX5" fmla="*/ 1264920 w 1619250"/>
              <a:gd name="connsiteY5" fmla="*/ 525780 h 2026920"/>
              <a:gd name="connsiteX6" fmla="*/ 1261110 w 1619250"/>
              <a:gd name="connsiteY6" fmla="*/ 491490 h 2026920"/>
              <a:gd name="connsiteX7" fmla="*/ 1219200 w 1619250"/>
              <a:gd name="connsiteY7" fmla="*/ 476250 h 2026920"/>
              <a:gd name="connsiteX8" fmla="*/ 1165860 w 1619250"/>
              <a:gd name="connsiteY8" fmla="*/ 506730 h 2026920"/>
              <a:gd name="connsiteX9" fmla="*/ 1154430 w 1619250"/>
              <a:gd name="connsiteY9" fmla="*/ 464820 h 2026920"/>
              <a:gd name="connsiteX10" fmla="*/ 1120140 w 1619250"/>
              <a:gd name="connsiteY10" fmla="*/ 510540 h 2026920"/>
              <a:gd name="connsiteX11" fmla="*/ 1028700 w 1619250"/>
              <a:gd name="connsiteY11" fmla="*/ 510540 h 2026920"/>
              <a:gd name="connsiteX12" fmla="*/ 990600 w 1619250"/>
              <a:gd name="connsiteY12" fmla="*/ 384810 h 2026920"/>
              <a:gd name="connsiteX13" fmla="*/ 967740 w 1619250"/>
              <a:gd name="connsiteY13" fmla="*/ 392430 h 2026920"/>
              <a:gd name="connsiteX14" fmla="*/ 937260 w 1619250"/>
              <a:gd name="connsiteY14" fmla="*/ 346710 h 2026920"/>
              <a:gd name="connsiteX15" fmla="*/ 914400 w 1619250"/>
              <a:gd name="connsiteY15" fmla="*/ 281940 h 2026920"/>
              <a:gd name="connsiteX16" fmla="*/ 842010 w 1619250"/>
              <a:gd name="connsiteY16" fmla="*/ 224790 h 2026920"/>
              <a:gd name="connsiteX17" fmla="*/ 830580 w 1619250"/>
              <a:gd name="connsiteY17" fmla="*/ 217170 h 2026920"/>
              <a:gd name="connsiteX18" fmla="*/ 830580 w 1619250"/>
              <a:gd name="connsiteY18" fmla="*/ 76200 h 2026920"/>
              <a:gd name="connsiteX19" fmla="*/ 777240 w 1619250"/>
              <a:gd name="connsiteY19" fmla="*/ 11430 h 2026920"/>
              <a:gd name="connsiteX20" fmla="*/ 773430 w 1619250"/>
              <a:gd name="connsiteY20" fmla="*/ 0 h 2026920"/>
              <a:gd name="connsiteX21" fmla="*/ 716280 w 1619250"/>
              <a:gd name="connsiteY21" fmla="*/ 76200 h 2026920"/>
              <a:gd name="connsiteX22" fmla="*/ 708660 w 1619250"/>
              <a:gd name="connsiteY22" fmla="*/ 118110 h 2026920"/>
              <a:gd name="connsiteX23" fmla="*/ 628650 w 1619250"/>
              <a:gd name="connsiteY23" fmla="*/ 133350 h 2026920"/>
              <a:gd name="connsiteX24" fmla="*/ 598170 w 1619250"/>
              <a:gd name="connsiteY24" fmla="*/ 114300 h 2026920"/>
              <a:gd name="connsiteX25" fmla="*/ 525780 w 1619250"/>
              <a:gd name="connsiteY25" fmla="*/ 156210 h 2026920"/>
              <a:gd name="connsiteX26" fmla="*/ 468630 w 1619250"/>
              <a:gd name="connsiteY26" fmla="*/ 167640 h 2026920"/>
              <a:gd name="connsiteX27" fmla="*/ 468630 w 1619250"/>
              <a:gd name="connsiteY27" fmla="*/ 167640 h 2026920"/>
              <a:gd name="connsiteX28" fmla="*/ 449580 w 1619250"/>
              <a:gd name="connsiteY28" fmla="*/ 163830 h 2026920"/>
              <a:gd name="connsiteX29" fmla="*/ 426720 w 1619250"/>
              <a:gd name="connsiteY29" fmla="*/ 198120 h 2026920"/>
              <a:gd name="connsiteX30" fmla="*/ 430530 w 1619250"/>
              <a:gd name="connsiteY30" fmla="*/ 247650 h 2026920"/>
              <a:gd name="connsiteX31" fmla="*/ 483870 w 1619250"/>
              <a:gd name="connsiteY31" fmla="*/ 297180 h 2026920"/>
              <a:gd name="connsiteX32" fmla="*/ 487680 w 1619250"/>
              <a:gd name="connsiteY32" fmla="*/ 422910 h 2026920"/>
              <a:gd name="connsiteX33" fmla="*/ 400050 w 1619250"/>
              <a:gd name="connsiteY33" fmla="*/ 468630 h 2026920"/>
              <a:gd name="connsiteX34" fmla="*/ 392430 w 1619250"/>
              <a:gd name="connsiteY34" fmla="*/ 487680 h 2026920"/>
              <a:gd name="connsiteX35" fmla="*/ 400050 w 1619250"/>
              <a:gd name="connsiteY35" fmla="*/ 571500 h 2026920"/>
              <a:gd name="connsiteX36" fmla="*/ 422910 w 1619250"/>
              <a:gd name="connsiteY36" fmla="*/ 621030 h 2026920"/>
              <a:gd name="connsiteX37" fmla="*/ 426720 w 1619250"/>
              <a:gd name="connsiteY37" fmla="*/ 628650 h 2026920"/>
              <a:gd name="connsiteX38" fmla="*/ 426720 w 1619250"/>
              <a:gd name="connsiteY38" fmla="*/ 640080 h 2026920"/>
              <a:gd name="connsiteX39" fmla="*/ 411480 w 1619250"/>
              <a:gd name="connsiteY39" fmla="*/ 670560 h 2026920"/>
              <a:gd name="connsiteX40" fmla="*/ 426720 w 1619250"/>
              <a:gd name="connsiteY40" fmla="*/ 704850 h 2026920"/>
              <a:gd name="connsiteX41" fmla="*/ 422910 w 1619250"/>
              <a:gd name="connsiteY41" fmla="*/ 765810 h 2026920"/>
              <a:gd name="connsiteX42" fmla="*/ 350520 w 1619250"/>
              <a:gd name="connsiteY42" fmla="*/ 906780 h 2026920"/>
              <a:gd name="connsiteX43" fmla="*/ 316230 w 1619250"/>
              <a:gd name="connsiteY43" fmla="*/ 906780 h 2026920"/>
              <a:gd name="connsiteX44" fmla="*/ 297180 w 1619250"/>
              <a:gd name="connsiteY44" fmla="*/ 967740 h 2026920"/>
              <a:gd name="connsiteX45" fmla="*/ 217170 w 1619250"/>
              <a:gd name="connsiteY45" fmla="*/ 1028700 h 2026920"/>
              <a:gd name="connsiteX46" fmla="*/ 167640 w 1619250"/>
              <a:gd name="connsiteY46" fmla="*/ 1021080 h 2026920"/>
              <a:gd name="connsiteX47" fmla="*/ 179070 w 1619250"/>
              <a:gd name="connsiteY47" fmla="*/ 1062990 h 2026920"/>
              <a:gd name="connsiteX48" fmla="*/ 111770 w 1619250"/>
              <a:gd name="connsiteY48" fmla="*/ 1023565 h 2026920"/>
              <a:gd name="connsiteX49" fmla="*/ 68580 w 1619250"/>
              <a:gd name="connsiteY49" fmla="*/ 1192530 h 2026920"/>
              <a:gd name="connsiteX50" fmla="*/ 0 w 1619250"/>
              <a:gd name="connsiteY50" fmla="*/ 1371600 h 2026920"/>
              <a:gd name="connsiteX51" fmla="*/ 0 w 1619250"/>
              <a:gd name="connsiteY51" fmla="*/ 1379220 h 2026920"/>
              <a:gd name="connsiteX52" fmla="*/ 53340 w 1619250"/>
              <a:gd name="connsiteY52" fmla="*/ 1402080 h 2026920"/>
              <a:gd name="connsiteX53" fmla="*/ 68580 w 1619250"/>
              <a:gd name="connsiteY53" fmla="*/ 1459230 h 2026920"/>
              <a:gd name="connsiteX54" fmla="*/ 102870 w 1619250"/>
              <a:gd name="connsiteY54" fmla="*/ 1451610 h 2026920"/>
              <a:gd name="connsiteX55" fmla="*/ 118110 w 1619250"/>
              <a:gd name="connsiteY55" fmla="*/ 1531620 h 2026920"/>
              <a:gd name="connsiteX56" fmla="*/ 148590 w 1619250"/>
              <a:gd name="connsiteY56" fmla="*/ 1550670 h 2026920"/>
              <a:gd name="connsiteX57" fmla="*/ 281940 w 1619250"/>
              <a:gd name="connsiteY57" fmla="*/ 1539240 h 2026920"/>
              <a:gd name="connsiteX58" fmla="*/ 274320 w 1619250"/>
              <a:gd name="connsiteY58" fmla="*/ 1501140 h 2026920"/>
              <a:gd name="connsiteX59" fmla="*/ 335280 w 1619250"/>
              <a:gd name="connsiteY59" fmla="*/ 1543050 h 2026920"/>
              <a:gd name="connsiteX60" fmla="*/ 342900 w 1619250"/>
              <a:gd name="connsiteY60" fmla="*/ 1592580 h 2026920"/>
              <a:gd name="connsiteX61" fmla="*/ 457200 w 1619250"/>
              <a:gd name="connsiteY61" fmla="*/ 1752600 h 2026920"/>
              <a:gd name="connsiteX62" fmla="*/ 441960 w 1619250"/>
              <a:gd name="connsiteY62" fmla="*/ 1821180 h 2026920"/>
              <a:gd name="connsiteX63" fmla="*/ 499110 w 1619250"/>
              <a:gd name="connsiteY63" fmla="*/ 1874520 h 2026920"/>
              <a:gd name="connsiteX64" fmla="*/ 541020 w 1619250"/>
              <a:gd name="connsiteY64" fmla="*/ 1878330 h 2026920"/>
              <a:gd name="connsiteX65" fmla="*/ 563880 w 1619250"/>
              <a:gd name="connsiteY65" fmla="*/ 1946910 h 2026920"/>
              <a:gd name="connsiteX66" fmla="*/ 601980 w 1619250"/>
              <a:gd name="connsiteY66" fmla="*/ 1958340 h 2026920"/>
              <a:gd name="connsiteX67" fmla="*/ 586740 w 1619250"/>
              <a:gd name="connsiteY67" fmla="*/ 2000250 h 2026920"/>
              <a:gd name="connsiteX68" fmla="*/ 624840 w 1619250"/>
              <a:gd name="connsiteY68" fmla="*/ 2015490 h 2026920"/>
              <a:gd name="connsiteX69" fmla="*/ 685800 w 1619250"/>
              <a:gd name="connsiteY69" fmla="*/ 1996440 h 2026920"/>
              <a:gd name="connsiteX70" fmla="*/ 716280 w 1619250"/>
              <a:gd name="connsiteY70" fmla="*/ 2026920 h 2026920"/>
              <a:gd name="connsiteX71" fmla="*/ 750570 w 1619250"/>
              <a:gd name="connsiteY71" fmla="*/ 1988820 h 2026920"/>
              <a:gd name="connsiteX72" fmla="*/ 899160 w 1619250"/>
              <a:gd name="connsiteY72" fmla="*/ 1985010 h 2026920"/>
              <a:gd name="connsiteX73" fmla="*/ 922020 w 1619250"/>
              <a:gd name="connsiteY73" fmla="*/ 1950720 h 2026920"/>
              <a:gd name="connsiteX74" fmla="*/ 1082040 w 1619250"/>
              <a:gd name="connsiteY74" fmla="*/ 1981200 h 2026920"/>
              <a:gd name="connsiteX75" fmla="*/ 1127760 w 1619250"/>
              <a:gd name="connsiteY75" fmla="*/ 1973580 h 2026920"/>
              <a:gd name="connsiteX76" fmla="*/ 1192530 w 1619250"/>
              <a:gd name="connsiteY76" fmla="*/ 1977390 h 2026920"/>
              <a:gd name="connsiteX77" fmla="*/ 1223010 w 1619250"/>
              <a:gd name="connsiteY77" fmla="*/ 1901190 h 2026920"/>
              <a:gd name="connsiteX78" fmla="*/ 1337310 w 1619250"/>
              <a:gd name="connsiteY78" fmla="*/ 1893570 h 2026920"/>
              <a:gd name="connsiteX79" fmla="*/ 1396535 w 1619250"/>
              <a:gd name="connsiteY79" fmla="*/ 1846960 h 2026920"/>
              <a:gd name="connsiteX80" fmla="*/ 1368250 w 1619250"/>
              <a:gd name="connsiteY80" fmla="*/ 1794510 h 2026920"/>
              <a:gd name="connsiteX81" fmla="*/ 1367790 w 1619250"/>
              <a:gd name="connsiteY81" fmla="*/ 1767840 h 2026920"/>
              <a:gd name="connsiteX82" fmla="*/ 1478280 w 1619250"/>
              <a:gd name="connsiteY82" fmla="*/ 1729740 h 2026920"/>
              <a:gd name="connsiteX83" fmla="*/ 1539240 w 1619250"/>
              <a:gd name="connsiteY83" fmla="*/ 1680210 h 2026920"/>
              <a:gd name="connsiteX84" fmla="*/ 1588770 w 1619250"/>
              <a:gd name="connsiteY84" fmla="*/ 1684020 h 2026920"/>
              <a:gd name="connsiteX85" fmla="*/ 1611630 w 1619250"/>
              <a:gd name="connsiteY85" fmla="*/ 1497330 h 2026920"/>
              <a:gd name="connsiteX86" fmla="*/ 1581150 w 1619250"/>
              <a:gd name="connsiteY86" fmla="*/ 1466850 h 2026920"/>
              <a:gd name="connsiteX87" fmla="*/ 1581150 w 1619250"/>
              <a:gd name="connsiteY87" fmla="*/ 1413510 h 2026920"/>
              <a:gd name="connsiteX88" fmla="*/ 1531620 w 1619250"/>
              <a:gd name="connsiteY88" fmla="*/ 1295400 h 2026920"/>
              <a:gd name="connsiteX89" fmla="*/ 1497330 w 1619250"/>
              <a:gd name="connsiteY89" fmla="*/ 1268730 h 2026920"/>
              <a:gd name="connsiteX90" fmla="*/ 1516380 w 1619250"/>
              <a:gd name="connsiteY90" fmla="*/ 1203960 h 2026920"/>
              <a:gd name="connsiteX91" fmla="*/ 1501140 w 1619250"/>
              <a:gd name="connsiteY91" fmla="*/ 1127760 h 2026920"/>
              <a:gd name="connsiteX92" fmla="*/ 1508760 w 1619250"/>
              <a:gd name="connsiteY92" fmla="*/ 1089660 h 2026920"/>
              <a:gd name="connsiteX93" fmla="*/ 1550670 w 1619250"/>
              <a:gd name="connsiteY93" fmla="*/ 1074420 h 2026920"/>
              <a:gd name="connsiteX94" fmla="*/ 1524000 w 1619250"/>
              <a:gd name="connsiteY94" fmla="*/ 1002030 h 2026920"/>
              <a:gd name="connsiteX95" fmla="*/ 1489710 w 1619250"/>
              <a:gd name="connsiteY95" fmla="*/ 960120 h 2026920"/>
              <a:gd name="connsiteX96" fmla="*/ 1489710 w 1619250"/>
              <a:gd name="connsiteY96" fmla="*/ 956310 h 2026920"/>
              <a:gd name="connsiteX97" fmla="*/ 1546860 w 1619250"/>
              <a:gd name="connsiteY97" fmla="*/ 914400 h 2026920"/>
              <a:gd name="connsiteX98" fmla="*/ 1569720 w 1619250"/>
              <a:gd name="connsiteY98" fmla="*/ 887730 h 2026920"/>
              <a:gd name="connsiteX99" fmla="*/ 1558290 w 1619250"/>
              <a:gd name="connsiteY99" fmla="*/ 853440 h 2026920"/>
              <a:gd name="connsiteX100" fmla="*/ 1619250 w 1619250"/>
              <a:gd name="connsiteY100" fmla="*/ 773430 h 2026920"/>
              <a:gd name="connsiteX101" fmla="*/ 1619250 w 1619250"/>
              <a:gd name="connsiteY101" fmla="*/ 720090 h 2026920"/>
              <a:gd name="connsiteX102" fmla="*/ 1535430 w 1619250"/>
              <a:gd name="connsiteY102" fmla="*/ 613410 h 2026920"/>
              <a:gd name="connsiteX0" fmla="*/ 1535430 w 1619250"/>
              <a:gd name="connsiteY0" fmla="*/ 613410 h 2026920"/>
              <a:gd name="connsiteX1" fmla="*/ 1375410 w 1619250"/>
              <a:gd name="connsiteY1" fmla="*/ 647700 h 2026920"/>
              <a:gd name="connsiteX2" fmla="*/ 1280160 w 1619250"/>
              <a:gd name="connsiteY2" fmla="*/ 636270 h 2026920"/>
              <a:gd name="connsiteX3" fmla="*/ 1314450 w 1619250"/>
              <a:gd name="connsiteY3" fmla="*/ 617220 h 2026920"/>
              <a:gd name="connsiteX4" fmla="*/ 1318260 w 1619250"/>
              <a:gd name="connsiteY4" fmla="*/ 582930 h 2026920"/>
              <a:gd name="connsiteX5" fmla="*/ 1264920 w 1619250"/>
              <a:gd name="connsiteY5" fmla="*/ 525780 h 2026920"/>
              <a:gd name="connsiteX6" fmla="*/ 1261110 w 1619250"/>
              <a:gd name="connsiteY6" fmla="*/ 491490 h 2026920"/>
              <a:gd name="connsiteX7" fmla="*/ 1219200 w 1619250"/>
              <a:gd name="connsiteY7" fmla="*/ 476250 h 2026920"/>
              <a:gd name="connsiteX8" fmla="*/ 1165860 w 1619250"/>
              <a:gd name="connsiteY8" fmla="*/ 506730 h 2026920"/>
              <a:gd name="connsiteX9" fmla="*/ 1154430 w 1619250"/>
              <a:gd name="connsiteY9" fmla="*/ 464820 h 2026920"/>
              <a:gd name="connsiteX10" fmla="*/ 1120140 w 1619250"/>
              <a:gd name="connsiteY10" fmla="*/ 510540 h 2026920"/>
              <a:gd name="connsiteX11" fmla="*/ 1028700 w 1619250"/>
              <a:gd name="connsiteY11" fmla="*/ 510540 h 2026920"/>
              <a:gd name="connsiteX12" fmla="*/ 990600 w 1619250"/>
              <a:gd name="connsiteY12" fmla="*/ 384810 h 2026920"/>
              <a:gd name="connsiteX13" fmla="*/ 967740 w 1619250"/>
              <a:gd name="connsiteY13" fmla="*/ 392430 h 2026920"/>
              <a:gd name="connsiteX14" fmla="*/ 937260 w 1619250"/>
              <a:gd name="connsiteY14" fmla="*/ 346710 h 2026920"/>
              <a:gd name="connsiteX15" fmla="*/ 914400 w 1619250"/>
              <a:gd name="connsiteY15" fmla="*/ 281940 h 2026920"/>
              <a:gd name="connsiteX16" fmla="*/ 842010 w 1619250"/>
              <a:gd name="connsiteY16" fmla="*/ 224790 h 2026920"/>
              <a:gd name="connsiteX17" fmla="*/ 830580 w 1619250"/>
              <a:gd name="connsiteY17" fmla="*/ 217170 h 2026920"/>
              <a:gd name="connsiteX18" fmla="*/ 830580 w 1619250"/>
              <a:gd name="connsiteY18" fmla="*/ 76200 h 2026920"/>
              <a:gd name="connsiteX19" fmla="*/ 777240 w 1619250"/>
              <a:gd name="connsiteY19" fmla="*/ 11430 h 2026920"/>
              <a:gd name="connsiteX20" fmla="*/ 773430 w 1619250"/>
              <a:gd name="connsiteY20" fmla="*/ 0 h 2026920"/>
              <a:gd name="connsiteX21" fmla="*/ 716280 w 1619250"/>
              <a:gd name="connsiteY21" fmla="*/ 76200 h 2026920"/>
              <a:gd name="connsiteX22" fmla="*/ 708660 w 1619250"/>
              <a:gd name="connsiteY22" fmla="*/ 118110 h 2026920"/>
              <a:gd name="connsiteX23" fmla="*/ 628650 w 1619250"/>
              <a:gd name="connsiteY23" fmla="*/ 133350 h 2026920"/>
              <a:gd name="connsiteX24" fmla="*/ 598170 w 1619250"/>
              <a:gd name="connsiteY24" fmla="*/ 114300 h 2026920"/>
              <a:gd name="connsiteX25" fmla="*/ 525780 w 1619250"/>
              <a:gd name="connsiteY25" fmla="*/ 156210 h 2026920"/>
              <a:gd name="connsiteX26" fmla="*/ 468630 w 1619250"/>
              <a:gd name="connsiteY26" fmla="*/ 167640 h 2026920"/>
              <a:gd name="connsiteX27" fmla="*/ 468630 w 1619250"/>
              <a:gd name="connsiteY27" fmla="*/ 167640 h 2026920"/>
              <a:gd name="connsiteX28" fmla="*/ 449580 w 1619250"/>
              <a:gd name="connsiteY28" fmla="*/ 163830 h 2026920"/>
              <a:gd name="connsiteX29" fmla="*/ 426720 w 1619250"/>
              <a:gd name="connsiteY29" fmla="*/ 198120 h 2026920"/>
              <a:gd name="connsiteX30" fmla="*/ 430530 w 1619250"/>
              <a:gd name="connsiteY30" fmla="*/ 247650 h 2026920"/>
              <a:gd name="connsiteX31" fmla="*/ 483870 w 1619250"/>
              <a:gd name="connsiteY31" fmla="*/ 297180 h 2026920"/>
              <a:gd name="connsiteX32" fmla="*/ 487680 w 1619250"/>
              <a:gd name="connsiteY32" fmla="*/ 422910 h 2026920"/>
              <a:gd name="connsiteX33" fmla="*/ 400050 w 1619250"/>
              <a:gd name="connsiteY33" fmla="*/ 468630 h 2026920"/>
              <a:gd name="connsiteX34" fmla="*/ 392430 w 1619250"/>
              <a:gd name="connsiteY34" fmla="*/ 487680 h 2026920"/>
              <a:gd name="connsiteX35" fmla="*/ 400050 w 1619250"/>
              <a:gd name="connsiteY35" fmla="*/ 571500 h 2026920"/>
              <a:gd name="connsiteX36" fmla="*/ 422910 w 1619250"/>
              <a:gd name="connsiteY36" fmla="*/ 621030 h 2026920"/>
              <a:gd name="connsiteX37" fmla="*/ 426720 w 1619250"/>
              <a:gd name="connsiteY37" fmla="*/ 628650 h 2026920"/>
              <a:gd name="connsiteX38" fmla="*/ 426720 w 1619250"/>
              <a:gd name="connsiteY38" fmla="*/ 640080 h 2026920"/>
              <a:gd name="connsiteX39" fmla="*/ 411480 w 1619250"/>
              <a:gd name="connsiteY39" fmla="*/ 670560 h 2026920"/>
              <a:gd name="connsiteX40" fmla="*/ 426720 w 1619250"/>
              <a:gd name="connsiteY40" fmla="*/ 704850 h 2026920"/>
              <a:gd name="connsiteX41" fmla="*/ 422910 w 1619250"/>
              <a:gd name="connsiteY41" fmla="*/ 765810 h 2026920"/>
              <a:gd name="connsiteX42" fmla="*/ 350520 w 1619250"/>
              <a:gd name="connsiteY42" fmla="*/ 906780 h 2026920"/>
              <a:gd name="connsiteX43" fmla="*/ 316230 w 1619250"/>
              <a:gd name="connsiteY43" fmla="*/ 906780 h 2026920"/>
              <a:gd name="connsiteX44" fmla="*/ 297180 w 1619250"/>
              <a:gd name="connsiteY44" fmla="*/ 967740 h 2026920"/>
              <a:gd name="connsiteX45" fmla="*/ 217170 w 1619250"/>
              <a:gd name="connsiteY45" fmla="*/ 1028700 h 2026920"/>
              <a:gd name="connsiteX46" fmla="*/ 176114 w 1619250"/>
              <a:gd name="connsiteY46" fmla="*/ 1004072 h 2026920"/>
              <a:gd name="connsiteX47" fmla="*/ 179070 w 1619250"/>
              <a:gd name="connsiteY47" fmla="*/ 1062990 h 2026920"/>
              <a:gd name="connsiteX48" fmla="*/ 111770 w 1619250"/>
              <a:gd name="connsiteY48" fmla="*/ 1023565 h 2026920"/>
              <a:gd name="connsiteX49" fmla="*/ 68580 w 1619250"/>
              <a:gd name="connsiteY49" fmla="*/ 1192530 h 2026920"/>
              <a:gd name="connsiteX50" fmla="*/ 0 w 1619250"/>
              <a:gd name="connsiteY50" fmla="*/ 1371600 h 2026920"/>
              <a:gd name="connsiteX51" fmla="*/ 0 w 1619250"/>
              <a:gd name="connsiteY51" fmla="*/ 1379220 h 2026920"/>
              <a:gd name="connsiteX52" fmla="*/ 53340 w 1619250"/>
              <a:gd name="connsiteY52" fmla="*/ 1402080 h 2026920"/>
              <a:gd name="connsiteX53" fmla="*/ 68580 w 1619250"/>
              <a:gd name="connsiteY53" fmla="*/ 1459230 h 2026920"/>
              <a:gd name="connsiteX54" fmla="*/ 102870 w 1619250"/>
              <a:gd name="connsiteY54" fmla="*/ 1451610 h 2026920"/>
              <a:gd name="connsiteX55" fmla="*/ 118110 w 1619250"/>
              <a:gd name="connsiteY55" fmla="*/ 1531620 h 2026920"/>
              <a:gd name="connsiteX56" fmla="*/ 148590 w 1619250"/>
              <a:gd name="connsiteY56" fmla="*/ 1550670 h 2026920"/>
              <a:gd name="connsiteX57" fmla="*/ 281940 w 1619250"/>
              <a:gd name="connsiteY57" fmla="*/ 1539240 h 2026920"/>
              <a:gd name="connsiteX58" fmla="*/ 274320 w 1619250"/>
              <a:gd name="connsiteY58" fmla="*/ 1501140 h 2026920"/>
              <a:gd name="connsiteX59" fmla="*/ 335280 w 1619250"/>
              <a:gd name="connsiteY59" fmla="*/ 1543050 h 2026920"/>
              <a:gd name="connsiteX60" fmla="*/ 342900 w 1619250"/>
              <a:gd name="connsiteY60" fmla="*/ 1592580 h 2026920"/>
              <a:gd name="connsiteX61" fmla="*/ 457200 w 1619250"/>
              <a:gd name="connsiteY61" fmla="*/ 1752600 h 2026920"/>
              <a:gd name="connsiteX62" fmla="*/ 441960 w 1619250"/>
              <a:gd name="connsiteY62" fmla="*/ 1821180 h 2026920"/>
              <a:gd name="connsiteX63" fmla="*/ 499110 w 1619250"/>
              <a:gd name="connsiteY63" fmla="*/ 1874520 h 2026920"/>
              <a:gd name="connsiteX64" fmla="*/ 541020 w 1619250"/>
              <a:gd name="connsiteY64" fmla="*/ 1878330 h 2026920"/>
              <a:gd name="connsiteX65" fmla="*/ 563880 w 1619250"/>
              <a:gd name="connsiteY65" fmla="*/ 1946910 h 2026920"/>
              <a:gd name="connsiteX66" fmla="*/ 601980 w 1619250"/>
              <a:gd name="connsiteY66" fmla="*/ 1958340 h 2026920"/>
              <a:gd name="connsiteX67" fmla="*/ 586740 w 1619250"/>
              <a:gd name="connsiteY67" fmla="*/ 2000250 h 2026920"/>
              <a:gd name="connsiteX68" fmla="*/ 624840 w 1619250"/>
              <a:gd name="connsiteY68" fmla="*/ 2015490 h 2026920"/>
              <a:gd name="connsiteX69" fmla="*/ 685800 w 1619250"/>
              <a:gd name="connsiteY69" fmla="*/ 1996440 h 2026920"/>
              <a:gd name="connsiteX70" fmla="*/ 716280 w 1619250"/>
              <a:gd name="connsiteY70" fmla="*/ 2026920 h 2026920"/>
              <a:gd name="connsiteX71" fmla="*/ 750570 w 1619250"/>
              <a:gd name="connsiteY71" fmla="*/ 1988820 h 2026920"/>
              <a:gd name="connsiteX72" fmla="*/ 899160 w 1619250"/>
              <a:gd name="connsiteY72" fmla="*/ 1985010 h 2026920"/>
              <a:gd name="connsiteX73" fmla="*/ 922020 w 1619250"/>
              <a:gd name="connsiteY73" fmla="*/ 1950720 h 2026920"/>
              <a:gd name="connsiteX74" fmla="*/ 1082040 w 1619250"/>
              <a:gd name="connsiteY74" fmla="*/ 1981200 h 2026920"/>
              <a:gd name="connsiteX75" fmla="*/ 1127760 w 1619250"/>
              <a:gd name="connsiteY75" fmla="*/ 1973580 h 2026920"/>
              <a:gd name="connsiteX76" fmla="*/ 1192530 w 1619250"/>
              <a:gd name="connsiteY76" fmla="*/ 1977390 h 2026920"/>
              <a:gd name="connsiteX77" fmla="*/ 1223010 w 1619250"/>
              <a:gd name="connsiteY77" fmla="*/ 1901190 h 2026920"/>
              <a:gd name="connsiteX78" fmla="*/ 1337310 w 1619250"/>
              <a:gd name="connsiteY78" fmla="*/ 1893570 h 2026920"/>
              <a:gd name="connsiteX79" fmla="*/ 1396535 w 1619250"/>
              <a:gd name="connsiteY79" fmla="*/ 1846960 h 2026920"/>
              <a:gd name="connsiteX80" fmla="*/ 1368250 w 1619250"/>
              <a:gd name="connsiteY80" fmla="*/ 1794510 h 2026920"/>
              <a:gd name="connsiteX81" fmla="*/ 1367790 w 1619250"/>
              <a:gd name="connsiteY81" fmla="*/ 1767840 h 2026920"/>
              <a:gd name="connsiteX82" fmla="*/ 1478280 w 1619250"/>
              <a:gd name="connsiteY82" fmla="*/ 1729740 h 2026920"/>
              <a:gd name="connsiteX83" fmla="*/ 1539240 w 1619250"/>
              <a:gd name="connsiteY83" fmla="*/ 1680210 h 2026920"/>
              <a:gd name="connsiteX84" fmla="*/ 1588770 w 1619250"/>
              <a:gd name="connsiteY84" fmla="*/ 1684020 h 2026920"/>
              <a:gd name="connsiteX85" fmla="*/ 1611630 w 1619250"/>
              <a:gd name="connsiteY85" fmla="*/ 1497330 h 2026920"/>
              <a:gd name="connsiteX86" fmla="*/ 1581150 w 1619250"/>
              <a:gd name="connsiteY86" fmla="*/ 1466850 h 2026920"/>
              <a:gd name="connsiteX87" fmla="*/ 1581150 w 1619250"/>
              <a:gd name="connsiteY87" fmla="*/ 1413510 h 2026920"/>
              <a:gd name="connsiteX88" fmla="*/ 1531620 w 1619250"/>
              <a:gd name="connsiteY88" fmla="*/ 1295400 h 2026920"/>
              <a:gd name="connsiteX89" fmla="*/ 1497330 w 1619250"/>
              <a:gd name="connsiteY89" fmla="*/ 1268730 h 2026920"/>
              <a:gd name="connsiteX90" fmla="*/ 1516380 w 1619250"/>
              <a:gd name="connsiteY90" fmla="*/ 1203960 h 2026920"/>
              <a:gd name="connsiteX91" fmla="*/ 1501140 w 1619250"/>
              <a:gd name="connsiteY91" fmla="*/ 1127760 h 2026920"/>
              <a:gd name="connsiteX92" fmla="*/ 1508760 w 1619250"/>
              <a:gd name="connsiteY92" fmla="*/ 1089660 h 2026920"/>
              <a:gd name="connsiteX93" fmla="*/ 1550670 w 1619250"/>
              <a:gd name="connsiteY93" fmla="*/ 1074420 h 2026920"/>
              <a:gd name="connsiteX94" fmla="*/ 1524000 w 1619250"/>
              <a:gd name="connsiteY94" fmla="*/ 1002030 h 2026920"/>
              <a:gd name="connsiteX95" fmla="*/ 1489710 w 1619250"/>
              <a:gd name="connsiteY95" fmla="*/ 960120 h 2026920"/>
              <a:gd name="connsiteX96" fmla="*/ 1489710 w 1619250"/>
              <a:gd name="connsiteY96" fmla="*/ 956310 h 2026920"/>
              <a:gd name="connsiteX97" fmla="*/ 1546860 w 1619250"/>
              <a:gd name="connsiteY97" fmla="*/ 914400 h 2026920"/>
              <a:gd name="connsiteX98" fmla="*/ 1569720 w 1619250"/>
              <a:gd name="connsiteY98" fmla="*/ 887730 h 2026920"/>
              <a:gd name="connsiteX99" fmla="*/ 1558290 w 1619250"/>
              <a:gd name="connsiteY99" fmla="*/ 853440 h 2026920"/>
              <a:gd name="connsiteX100" fmla="*/ 1619250 w 1619250"/>
              <a:gd name="connsiteY100" fmla="*/ 773430 h 2026920"/>
              <a:gd name="connsiteX101" fmla="*/ 1619250 w 1619250"/>
              <a:gd name="connsiteY101" fmla="*/ 720090 h 2026920"/>
              <a:gd name="connsiteX102" fmla="*/ 1535430 w 1619250"/>
              <a:gd name="connsiteY102" fmla="*/ 613410 h 202692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Lst>
            <a:rect l="l" t="t" r="r" b="b"/>
            <a:pathLst>
              <a:path w="1619250" h="2026920">
                <a:moveTo>
                  <a:pt x="1535430" y="613410"/>
                </a:moveTo>
                <a:lnTo>
                  <a:pt x="1375410" y="647700"/>
                </a:lnTo>
                <a:lnTo>
                  <a:pt x="1280160" y="636270"/>
                </a:lnTo>
                <a:lnTo>
                  <a:pt x="1314450" y="617220"/>
                </a:lnTo>
                <a:lnTo>
                  <a:pt x="1318260" y="582930"/>
                </a:lnTo>
                <a:lnTo>
                  <a:pt x="1264920" y="525780"/>
                </a:lnTo>
                <a:lnTo>
                  <a:pt x="1261110" y="491490"/>
                </a:lnTo>
                <a:lnTo>
                  <a:pt x="1219200" y="476250"/>
                </a:lnTo>
                <a:lnTo>
                  <a:pt x="1165860" y="506730"/>
                </a:lnTo>
                <a:lnTo>
                  <a:pt x="1154430" y="464820"/>
                </a:lnTo>
                <a:lnTo>
                  <a:pt x="1120140" y="510540"/>
                </a:lnTo>
                <a:lnTo>
                  <a:pt x="1028700" y="510540"/>
                </a:lnTo>
                <a:lnTo>
                  <a:pt x="990600" y="384810"/>
                </a:lnTo>
                <a:lnTo>
                  <a:pt x="967740" y="392430"/>
                </a:lnTo>
                <a:lnTo>
                  <a:pt x="937260" y="346710"/>
                </a:lnTo>
                <a:lnTo>
                  <a:pt x="914400" y="281940"/>
                </a:lnTo>
                <a:lnTo>
                  <a:pt x="842010" y="224790"/>
                </a:lnTo>
                <a:lnTo>
                  <a:pt x="830580" y="217170"/>
                </a:lnTo>
                <a:lnTo>
                  <a:pt x="830580" y="76200"/>
                </a:lnTo>
                <a:lnTo>
                  <a:pt x="777240" y="11430"/>
                </a:lnTo>
                <a:lnTo>
                  <a:pt x="773430" y="0"/>
                </a:lnTo>
                <a:lnTo>
                  <a:pt x="716280" y="76200"/>
                </a:lnTo>
                <a:lnTo>
                  <a:pt x="708660" y="118110"/>
                </a:lnTo>
                <a:lnTo>
                  <a:pt x="628650" y="133350"/>
                </a:lnTo>
                <a:lnTo>
                  <a:pt x="598170" y="114300"/>
                </a:lnTo>
                <a:lnTo>
                  <a:pt x="525780" y="156210"/>
                </a:lnTo>
                <a:lnTo>
                  <a:pt x="468630" y="167640"/>
                </a:lnTo>
                <a:lnTo>
                  <a:pt x="468630" y="167640"/>
                </a:lnTo>
                <a:lnTo>
                  <a:pt x="449580" y="163830"/>
                </a:lnTo>
                <a:lnTo>
                  <a:pt x="426720" y="198120"/>
                </a:lnTo>
                <a:lnTo>
                  <a:pt x="430530" y="247650"/>
                </a:lnTo>
                <a:lnTo>
                  <a:pt x="483870" y="297180"/>
                </a:lnTo>
                <a:lnTo>
                  <a:pt x="487680" y="422910"/>
                </a:lnTo>
                <a:lnTo>
                  <a:pt x="400050" y="468630"/>
                </a:lnTo>
                <a:lnTo>
                  <a:pt x="392430" y="487680"/>
                </a:lnTo>
                <a:lnTo>
                  <a:pt x="400050" y="571500"/>
                </a:lnTo>
                <a:lnTo>
                  <a:pt x="422910" y="621030"/>
                </a:lnTo>
                <a:lnTo>
                  <a:pt x="426720" y="628650"/>
                </a:lnTo>
                <a:lnTo>
                  <a:pt x="426720" y="640080"/>
                </a:lnTo>
                <a:lnTo>
                  <a:pt x="411480" y="670560"/>
                </a:lnTo>
                <a:lnTo>
                  <a:pt x="426720" y="704850"/>
                </a:lnTo>
                <a:lnTo>
                  <a:pt x="422910" y="765810"/>
                </a:lnTo>
                <a:lnTo>
                  <a:pt x="350520" y="906780"/>
                </a:lnTo>
                <a:lnTo>
                  <a:pt x="316230" y="906780"/>
                </a:lnTo>
                <a:lnTo>
                  <a:pt x="297180" y="967740"/>
                </a:lnTo>
                <a:lnTo>
                  <a:pt x="217170" y="1028700"/>
                </a:lnTo>
                <a:lnTo>
                  <a:pt x="176114" y="1004072"/>
                </a:lnTo>
                <a:lnTo>
                  <a:pt x="179070" y="1062990"/>
                </a:lnTo>
                <a:lnTo>
                  <a:pt x="111770" y="1023565"/>
                </a:lnTo>
                <a:lnTo>
                  <a:pt x="68580" y="1192530"/>
                </a:lnTo>
                <a:lnTo>
                  <a:pt x="0" y="1371600"/>
                </a:lnTo>
                <a:lnTo>
                  <a:pt x="0" y="1379220"/>
                </a:lnTo>
                <a:lnTo>
                  <a:pt x="53340" y="1402080"/>
                </a:lnTo>
                <a:lnTo>
                  <a:pt x="68580" y="1459230"/>
                </a:lnTo>
                <a:lnTo>
                  <a:pt x="102870" y="1451610"/>
                </a:lnTo>
                <a:lnTo>
                  <a:pt x="118110" y="1531620"/>
                </a:lnTo>
                <a:lnTo>
                  <a:pt x="148590" y="1550670"/>
                </a:lnTo>
                <a:lnTo>
                  <a:pt x="281940" y="1539240"/>
                </a:lnTo>
                <a:lnTo>
                  <a:pt x="274320" y="1501140"/>
                </a:lnTo>
                <a:lnTo>
                  <a:pt x="335280" y="1543050"/>
                </a:lnTo>
                <a:lnTo>
                  <a:pt x="342900" y="1592580"/>
                </a:lnTo>
                <a:lnTo>
                  <a:pt x="457200" y="1752600"/>
                </a:lnTo>
                <a:lnTo>
                  <a:pt x="441960" y="1821180"/>
                </a:lnTo>
                <a:lnTo>
                  <a:pt x="499110" y="1874520"/>
                </a:lnTo>
                <a:lnTo>
                  <a:pt x="541020" y="1878330"/>
                </a:lnTo>
                <a:lnTo>
                  <a:pt x="563880" y="1946910"/>
                </a:lnTo>
                <a:lnTo>
                  <a:pt x="601980" y="1958340"/>
                </a:lnTo>
                <a:lnTo>
                  <a:pt x="586740" y="2000250"/>
                </a:lnTo>
                <a:lnTo>
                  <a:pt x="624840" y="2015490"/>
                </a:lnTo>
                <a:lnTo>
                  <a:pt x="685800" y="1996440"/>
                </a:lnTo>
                <a:lnTo>
                  <a:pt x="716280" y="2026920"/>
                </a:lnTo>
                <a:lnTo>
                  <a:pt x="750570" y="1988820"/>
                </a:lnTo>
                <a:lnTo>
                  <a:pt x="899160" y="1985010"/>
                </a:lnTo>
                <a:lnTo>
                  <a:pt x="922020" y="1950720"/>
                </a:lnTo>
                <a:lnTo>
                  <a:pt x="1082040" y="1981200"/>
                </a:lnTo>
                <a:lnTo>
                  <a:pt x="1127760" y="1973580"/>
                </a:lnTo>
                <a:lnTo>
                  <a:pt x="1192530" y="1977390"/>
                </a:lnTo>
                <a:lnTo>
                  <a:pt x="1223010" y="1901190"/>
                </a:lnTo>
                <a:lnTo>
                  <a:pt x="1337310" y="1893570"/>
                </a:lnTo>
                <a:lnTo>
                  <a:pt x="1396535" y="1846960"/>
                </a:lnTo>
                <a:lnTo>
                  <a:pt x="1368250" y="1794510"/>
                </a:lnTo>
                <a:cubicBezTo>
                  <a:pt x="1368097" y="1785620"/>
                  <a:pt x="1367943" y="1776730"/>
                  <a:pt x="1367790" y="1767840"/>
                </a:cubicBezTo>
                <a:lnTo>
                  <a:pt x="1478280" y="1729740"/>
                </a:lnTo>
                <a:lnTo>
                  <a:pt x="1539240" y="1680210"/>
                </a:lnTo>
                <a:lnTo>
                  <a:pt x="1588770" y="1684020"/>
                </a:lnTo>
                <a:lnTo>
                  <a:pt x="1611630" y="1497330"/>
                </a:lnTo>
                <a:lnTo>
                  <a:pt x="1581150" y="1466850"/>
                </a:lnTo>
                <a:lnTo>
                  <a:pt x="1581150" y="1413510"/>
                </a:lnTo>
                <a:lnTo>
                  <a:pt x="1531620" y="1295400"/>
                </a:lnTo>
                <a:lnTo>
                  <a:pt x="1497330" y="1268730"/>
                </a:lnTo>
                <a:lnTo>
                  <a:pt x="1516380" y="1203960"/>
                </a:lnTo>
                <a:lnTo>
                  <a:pt x="1501140" y="1127760"/>
                </a:lnTo>
                <a:lnTo>
                  <a:pt x="1508760" y="1089660"/>
                </a:lnTo>
                <a:lnTo>
                  <a:pt x="1550670" y="1074420"/>
                </a:lnTo>
                <a:lnTo>
                  <a:pt x="1524000" y="1002030"/>
                </a:lnTo>
                <a:lnTo>
                  <a:pt x="1489710" y="960120"/>
                </a:lnTo>
                <a:lnTo>
                  <a:pt x="1489710" y="956310"/>
                </a:lnTo>
                <a:lnTo>
                  <a:pt x="1546860" y="914400"/>
                </a:lnTo>
                <a:lnTo>
                  <a:pt x="1569720" y="887730"/>
                </a:lnTo>
                <a:lnTo>
                  <a:pt x="1558290" y="853440"/>
                </a:lnTo>
                <a:lnTo>
                  <a:pt x="1619250" y="773430"/>
                </a:lnTo>
                <a:lnTo>
                  <a:pt x="1619250" y="720090"/>
                </a:lnTo>
                <a:lnTo>
                  <a:pt x="1535430" y="613410"/>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33" name="Ile_de_France">
            <a:extLst>
              <a:ext uri="{FF2B5EF4-FFF2-40B4-BE49-F238E27FC236}">
                <a16:creationId xmlns:a16="http://schemas.microsoft.com/office/drawing/2014/main" id="{00000000-0008-0000-0100-00004D010000}"/>
              </a:ext>
            </a:extLst>
          </xdr:cNvPr>
          <xdr:cNvSpPr/>
        </xdr:nvSpPr>
        <xdr:spPr>
          <a:xfrm>
            <a:off x="4450377" y="2669063"/>
            <a:ext cx="1180320" cy="838809"/>
          </a:xfrm>
          <a:custGeom>
            <a:avLst/>
            <a:gdLst>
              <a:gd name="connsiteX0" fmla="*/ 1028700 w 1074420"/>
              <a:gd name="connsiteY0" fmla="*/ 304800 h 864870"/>
              <a:gd name="connsiteX1" fmla="*/ 899160 w 1074420"/>
              <a:gd name="connsiteY1" fmla="*/ 198120 h 864870"/>
              <a:gd name="connsiteX2" fmla="*/ 872490 w 1074420"/>
              <a:gd name="connsiteY2" fmla="*/ 167640 h 864870"/>
              <a:gd name="connsiteX3" fmla="*/ 876300 w 1074420"/>
              <a:gd name="connsiteY3" fmla="*/ 129540 h 864870"/>
              <a:gd name="connsiteX4" fmla="*/ 864870 w 1074420"/>
              <a:gd name="connsiteY4" fmla="*/ 106680 h 864870"/>
              <a:gd name="connsiteX5" fmla="*/ 845820 w 1074420"/>
              <a:gd name="connsiteY5" fmla="*/ 83820 h 864870"/>
              <a:gd name="connsiteX6" fmla="*/ 796290 w 1074420"/>
              <a:gd name="connsiteY6" fmla="*/ 95250 h 864870"/>
              <a:gd name="connsiteX7" fmla="*/ 735330 w 1074420"/>
              <a:gd name="connsiteY7" fmla="*/ 118110 h 864870"/>
              <a:gd name="connsiteX8" fmla="*/ 712470 w 1074420"/>
              <a:gd name="connsiteY8" fmla="*/ 129540 h 864870"/>
              <a:gd name="connsiteX9" fmla="*/ 697230 w 1074420"/>
              <a:gd name="connsiteY9" fmla="*/ 110490 h 864870"/>
              <a:gd name="connsiteX10" fmla="*/ 674370 w 1074420"/>
              <a:gd name="connsiteY10" fmla="*/ 129540 h 864870"/>
              <a:gd name="connsiteX11" fmla="*/ 621030 w 1074420"/>
              <a:gd name="connsiteY11" fmla="*/ 125730 h 864870"/>
              <a:gd name="connsiteX12" fmla="*/ 586740 w 1074420"/>
              <a:gd name="connsiteY12" fmla="*/ 125730 h 864870"/>
              <a:gd name="connsiteX13" fmla="*/ 445770 w 1074420"/>
              <a:gd name="connsiteY13" fmla="*/ 45720 h 864870"/>
              <a:gd name="connsiteX14" fmla="*/ 407670 w 1074420"/>
              <a:gd name="connsiteY14" fmla="*/ 53340 h 864870"/>
              <a:gd name="connsiteX15" fmla="*/ 327660 w 1074420"/>
              <a:gd name="connsiteY15" fmla="*/ 41910 h 864870"/>
              <a:gd name="connsiteX16" fmla="*/ 289560 w 1074420"/>
              <a:gd name="connsiteY16" fmla="*/ 34290 h 864870"/>
              <a:gd name="connsiteX17" fmla="*/ 243840 w 1074420"/>
              <a:gd name="connsiteY17" fmla="*/ 41910 h 864870"/>
              <a:gd name="connsiteX18" fmla="*/ 217170 w 1074420"/>
              <a:gd name="connsiteY18" fmla="*/ 53340 h 864870"/>
              <a:gd name="connsiteX19" fmla="*/ 190500 w 1074420"/>
              <a:gd name="connsiteY19" fmla="*/ 57150 h 864870"/>
              <a:gd name="connsiteX20" fmla="*/ 140970 w 1074420"/>
              <a:gd name="connsiteY20" fmla="*/ 41910 h 864870"/>
              <a:gd name="connsiteX21" fmla="*/ 133350 w 1074420"/>
              <a:gd name="connsiteY21" fmla="*/ 11430 h 864870"/>
              <a:gd name="connsiteX22" fmla="*/ 133350 w 1074420"/>
              <a:gd name="connsiteY22" fmla="*/ 0 h 864870"/>
              <a:gd name="connsiteX23" fmla="*/ 68580 w 1074420"/>
              <a:gd name="connsiteY23" fmla="*/ 110490 h 864870"/>
              <a:gd name="connsiteX24" fmla="*/ 22860 w 1074420"/>
              <a:gd name="connsiteY24" fmla="*/ 106680 h 864870"/>
              <a:gd name="connsiteX25" fmla="*/ 11430 w 1074420"/>
              <a:gd name="connsiteY25" fmla="*/ 133350 h 864870"/>
              <a:gd name="connsiteX26" fmla="*/ 0 w 1074420"/>
              <a:gd name="connsiteY26" fmla="*/ 144780 h 864870"/>
              <a:gd name="connsiteX27" fmla="*/ 11430 w 1074420"/>
              <a:gd name="connsiteY27" fmla="*/ 209550 h 864870"/>
              <a:gd name="connsiteX28" fmla="*/ 11430 w 1074420"/>
              <a:gd name="connsiteY28" fmla="*/ 220980 h 864870"/>
              <a:gd name="connsiteX29" fmla="*/ 60960 w 1074420"/>
              <a:gd name="connsiteY29" fmla="*/ 300990 h 864870"/>
              <a:gd name="connsiteX30" fmla="*/ 64770 w 1074420"/>
              <a:gd name="connsiteY30" fmla="*/ 441960 h 864870"/>
              <a:gd name="connsiteX31" fmla="*/ 144780 w 1074420"/>
              <a:gd name="connsiteY31" fmla="*/ 502920 h 864870"/>
              <a:gd name="connsiteX32" fmla="*/ 163830 w 1074420"/>
              <a:gd name="connsiteY32" fmla="*/ 567690 h 864870"/>
              <a:gd name="connsiteX33" fmla="*/ 186690 w 1074420"/>
              <a:gd name="connsiteY33" fmla="*/ 605790 h 864870"/>
              <a:gd name="connsiteX34" fmla="*/ 224790 w 1074420"/>
              <a:gd name="connsiteY34" fmla="*/ 601980 h 864870"/>
              <a:gd name="connsiteX35" fmla="*/ 262890 w 1074420"/>
              <a:gd name="connsiteY35" fmla="*/ 731520 h 864870"/>
              <a:gd name="connsiteX36" fmla="*/ 350520 w 1074420"/>
              <a:gd name="connsiteY36" fmla="*/ 731520 h 864870"/>
              <a:gd name="connsiteX37" fmla="*/ 381000 w 1074420"/>
              <a:gd name="connsiteY37" fmla="*/ 689610 h 864870"/>
              <a:gd name="connsiteX38" fmla="*/ 400050 w 1074420"/>
              <a:gd name="connsiteY38" fmla="*/ 716280 h 864870"/>
              <a:gd name="connsiteX39" fmla="*/ 441960 w 1074420"/>
              <a:gd name="connsiteY39" fmla="*/ 701040 h 864870"/>
              <a:gd name="connsiteX40" fmla="*/ 483870 w 1074420"/>
              <a:gd name="connsiteY40" fmla="*/ 708660 h 864870"/>
              <a:gd name="connsiteX41" fmla="*/ 491490 w 1074420"/>
              <a:gd name="connsiteY41" fmla="*/ 746760 h 864870"/>
              <a:gd name="connsiteX42" fmla="*/ 544830 w 1074420"/>
              <a:gd name="connsiteY42" fmla="*/ 796290 h 864870"/>
              <a:gd name="connsiteX43" fmla="*/ 537210 w 1074420"/>
              <a:gd name="connsiteY43" fmla="*/ 838200 h 864870"/>
              <a:gd name="connsiteX44" fmla="*/ 506730 w 1074420"/>
              <a:gd name="connsiteY44" fmla="*/ 853440 h 864870"/>
              <a:gd name="connsiteX45" fmla="*/ 605790 w 1074420"/>
              <a:gd name="connsiteY45" fmla="*/ 864870 h 864870"/>
              <a:gd name="connsiteX46" fmla="*/ 765810 w 1074420"/>
              <a:gd name="connsiteY46" fmla="*/ 834390 h 864870"/>
              <a:gd name="connsiteX47" fmla="*/ 811530 w 1074420"/>
              <a:gd name="connsiteY47" fmla="*/ 769620 h 864870"/>
              <a:gd name="connsiteX48" fmla="*/ 811530 w 1074420"/>
              <a:gd name="connsiteY48" fmla="*/ 693420 h 864870"/>
              <a:gd name="connsiteX49" fmla="*/ 1002030 w 1074420"/>
              <a:gd name="connsiteY49" fmla="*/ 647700 h 864870"/>
              <a:gd name="connsiteX50" fmla="*/ 1002030 w 1074420"/>
              <a:gd name="connsiteY50" fmla="*/ 548640 h 864870"/>
              <a:gd name="connsiteX51" fmla="*/ 1009650 w 1074420"/>
              <a:gd name="connsiteY51" fmla="*/ 537210 h 864870"/>
              <a:gd name="connsiteX52" fmla="*/ 1074420 w 1074420"/>
              <a:gd name="connsiteY52" fmla="*/ 468630 h 864870"/>
              <a:gd name="connsiteX53" fmla="*/ 1043940 w 1074420"/>
              <a:gd name="connsiteY53" fmla="*/ 453390 h 864870"/>
              <a:gd name="connsiteX54" fmla="*/ 994410 w 1074420"/>
              <a:gd name="connsiteY54" fmla="*/ 346710 h 864870"/>
              <a:gd name="connsiteX55" fmla="*/ 1028700 w 1074420"/>
              <a:gd name="connsiteY55" fmla="*/ 304800 h 864870"/>
              <a:gd name="connsiteX0" fmla="*/ 1028700 w 1074420"/>
              <a:gd name="connsiteY0" fmla="*/ 304800 h 864870"/>
              <a:gd name="connsiteX1" fmla="*/ 948446 w 1074420"/>
              <a:gd name="connsiteY1" fmla="*/ 243613 h 864870"/>
              <a:gd name="connsiteX2" fmla="*/ 899160 w 1074420"/>
              <a:gd name="connsiteY2" fmla="*/ 198120 h 864870"/>
              <a:gd name="connsiteX3" fmla="*/ 872490 w 1074420"/>
              <a:gd name="connsiteY3" fmla="*/ 167640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5770 w 1074420"/>
              <a:gd name="connsiteY14" fmla="*/ 45720 h 864870"/>
              <a:gd name="connsiteX15" fmla="*/ 407670 w 1074420"/>
              <a:gd name="connsiteY15" fmla="*/ 53340 h 864870"/>
              <a:gd name="connsiteX16" fmla="*/ 327660 w 1074420"/>
              <a:gd name="connsiteY16" fmla="*/ 41910 h 864870"/>
              <a:gd name="connsiteX17" fmla="*/ 289560 w 1074420"/>
              <a:gd name="connsiteY17" fmla="*/ 34290 h 864870"/>
              <a:gd name="connsiteX18" fmla="*/ 243840 w 1074420"/>
              <a:gd name="connsiteY18" fmla="*/ 41910 h 864870"/>
              <a:gd name="connsiteX19" fmla="*/ 217170 w 1074420"/>
              <a:gd name="connsiteY19" fmla="*/ 53340 h 864870"/>
              <a:gd name="connsiteX20" fmla="*/ 190500 w 1074420"/>
              <a:gd name="connsiteY20" fmla="*/ 57150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0050 w 1074420"/>
              <a:gd name="connsiteY39" fmla="*/ 716280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28700 w 1074420"/>
              <a:gd name="connsiteY56" fmla="*/ 304800 h 864870"/>
              <a:gd name="connsiteX0" fmla="*/ 1028700 w 1074420"/>
              <a:gd name="connsiteY0" fmla="*/ 304800 h 864870"/>
              <a:gd name="connsiteX1" fmla="*/ 998173 w 1074420"/>
              <a:gd name="connsiteY1" fmla="*/ 246939 h 864870"/>
              <a:gd name="connsiteX2" fmla="*/ 899160 w 1074420"/>
              <a:gd name="connsiteY2" fmla="*/ 198120 h 864870"/>
              <a:gd name="connsiteX3" fmla="*/ 872490 w 1074420"/>
              <a:gd name="connsiteY3" fmla="*/ 167640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5770 w 1074420"/>
              <a:gd name="connsiteY14" fmla="*/ 45720 h 864870"/>
              <a:gd name="connsiteX15" fmla="*/ 407670 w 1074420"/>
              <a:gd name="connsiteY15" fmla="*/ 53340 h 864870"/>
              <a:gd name="connsiteX16" fmla="*/ 327660 w 1074420"/>
              <a:gd name="connsiteY16" fmla="*/ 41910 h 864870"/>
              <a:gd name="connsiteX17" fmla="*/ 289560 w 1074420"/>
              <a:gd name="connsiteY17" fmla="*/ 34290 h 864870"/>
              <a:gd name="connsiteX18" fmla="*/ 243840 w 1074420"/>
              <a:gd name="connsiteY18" fmla="*/ 41910 h 864870"/>
              <a:gd name="connsiteX19" fmla="*/ 217170 w 1074420"/>
              <a:gd name="connsiteY19" fmla="*/ 53340 h 864870"/>
              <a:gd name="connsiteX20" fmla="*/ 190500 w 1074420"/>
              <a:gd name="connsiteY20" fmla="*/ 57150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0050 w 1074420"/>
              <a:gd name="connsiteY39" fmla="*/ 716280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28700 w 1074420"/>
              <a:gd name="connsiteY56" fmla="*/ 304800 h 864870"/>
              <a:gd name="connsiteX0" fmla="*/ 1035330 w 1074420"/>
              <a:gd name="connsiteY0" fmla="*/ 284845 h 864870"/>
              <a:gd name="connsiteX1" fmla="*/ 998173 w 1074420"/>
              <a:gd name="connsiteY1" fmla="*/ 246939 h 864870"/>
              <a:gd name="connsiteX2" fmla="*/ 899160 w 1074420"/>
              <a:gd name="connsiteY2" fmla="*/ 198120 h 864870"/>
              <a:gd name="connsiteX3" fmla="*/ 872490 w 1074420"/>
              <a:gd name="connsiteY3" fmla="*/ 167640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5770 w 1074420"/>
              <a:gd name="connsiteY14" fmla="*/ 45720 h 864870"/>
              <a:gd name="connsiteX15" fmla="*/ 407670 w 1074420"/>
              <a:gd name="connsiteY15" fmla="*/ 53340 h 864870"/>
              <a:gd name="connsiteX16" fmla="*/ 327660 w 1074420"/>
              <a:gd name="connsiteY16" fmla="*/ 41910 h 864870"/>
              <a:gd name="connsiteX17" fmla="*/ 289560 w 1074420"/>
              <a:gd name="connsiteY17" fmla="*/ 34290 h 864870"/>
              <a:gd name="connsiteX18" fmla="*/ 243840 w 1074420"/>
              <a:gd name="connsiteY18" fmla="*/ 41910 h 864870"/>
              <a:gd name="connsiteX19" fmla="*/ 217170 w 1074420"/>
              <a:gd name="connsiteY19" fmla="*/ 53340 h 864870"/>
              <a:gd name="connsiteX20" fmla="*/ 190500 w 1074420"/>
              <a:gd name="connsiteY20" fmla="*/ 57150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0050 w 1074420"/>
              <a:gd name="connsiteY39" fmla="*/ 716280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35330 w 1074420"/>
              <a:gd name="connsiteY56" fmla="*/ 284845 h 864870"/>
              <a:gd name="connsiteX0" fmla="*/ 1035330 w 1074420"/>
              <a:gd name="connsiteY0" fmla="*/ 284845 h 864870"/>
              <a:gd name="connsiteX1" fmla="*/ 998173 w 1074420"/>
              <a:gd name="connsiteY1" fmla="*/ 246939 h 864870"/>
              <a:gd name="connsiteX2" fmla="*/ 909105 w 1074420"/>
              <a:gd name="connsiteY2" fmla="*/ 198120 h 864870"/>
              <a:gd name="connsiteX3" fmla="*/ 872490 w 1074420"/>
              <a:gd name="connsiteY3" fmla="*/ 167640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5770 w 1074420"/>
              <a:gd name="connsiteY14" fmla="*/ 45720 h 864870"/>
              <a:gd name="connsiteX15" fmla="*/ 407670 w 1074420"/>
              <a:gd name="connsiteY15" fmla="*/ 53340 h 864870"/>
              <a:gd name="connsiteX16" fmla="*/ 327660 w 1074420"/>
              <a:gd name="connsiteY16" fmla="*/ 41910 h 864870"/>
              <a:gd name="connsiteX17" fmla="*/ 289560 w 1074420"/>
              <a:gd name="connsiteY17" fmla="*/ 34290 h 864870"/>
              <a:gd name="connsiteX18" fmla="*/ 243840 w 1074420"/>
              <a:gd name="connsiteY18" fmla="*/ 41910 h 864870"/>
              <a:gd name="connsiteX19" fmla="*/ 217170 w 1074420"/>
              <a:gd name="connsiteY19" fmla="*/ 53340 h 864870"/>
              <a:gd name="connsiteX20" fmla="*/ 190500 w 1074420"/>
              <a:gd name="connsiteY20" fmla="*/ 57150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0050 w 1074420"/>
              <a:gd name="connsiteY39" fmla="*/ 716280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35330 w 1074420"/>
              <a:gd name="connsiteY56" fmla="*/ 284845 h 864870"/>
              <a:gd name="connsiteX0" fmla="*/ 1035330 w 1074420"/>
              <a:gd name="connsiteY0" fmla="*/ 284845 h 864870"/>
              <a:gd name="connsiteX1" fmla="*/ 998173 w 1074420"/>
              <a:gd name="connsiteY1" fmla="*/ 246939 h 864870"/>
              <a:gd name="connsiteX2" fmla="*/ 909105 w 1074420"/>
              <a:gd name="connsiteY2" fmla="*/ 198120 h 864870"/>
              <a:gd name="connsiteX3" fmla="*/ 882436 w 1074420"/>
              <a:gd name="connsiteY3" fmla="*/ 164314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5770 w 1074420"/>
              <a:gd name="connsiteY14" fmla="*/ 45720 h 864870"/>
              <a:gd name="connsiteX15" fmla="*/ 407670 w 1074420"/>
              <a:gd name="connsiteY15" fmla="*/ 53340 h 864870"/>
              <a:gd name="connsiteX16" fmla="*/ 327660 w 1074420"/>
              <a:gd name="connsiteY16" fmla="*/ 41910 h 864870"/>
              <a:gd name="connsiteX17" fmla="*/ 289560 w 1074420"/>
              <a:gd name="connsiteY17" fmla="*/ 34290 h 864870"/>
              <a:gd name="connsiteX18" fmla="*/ 243840 w 1074420"/>
              <a:gd name="connsiteY18" fmla="*/ 41910 h 864870"/>
              <a:gd name="connsiteX19" fmla="*/ 217170 w 1074420"/>
              <a:gd name="connsiteY19" fmla="*/ 53340 h 864870"/>
              <a:gd name="connsiteX20" fmla="*/ 190500 w 1074420"/>
              <a:gd name="connsiteY20" fmla="*/ 57150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0050 w 1074420"/>
              <a:gd name="connsiteY39" fmla="*/ 716280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35330 w 1074420"/>
              <a:gd name="connsiteY56" fmla="*/ 284845 h 864870"/>
              <a:gd name="connsiteX0" fmla="*/ 1035330 w 1074420"/>
              <a:gd name="connsiteY0" fmla="*/ 284845 h 864870"/>
              <a:gd name="connsiteX1" fmla="*/ 998173 w 1074420"/>
              <a:gd name="connsiteY1" fmla="*/ 246939 h 864870"/>
              <a:gd name="connsiteX2" fmla="*/ 909105 w 1074420"/>
              <a:gd name="connsiteY2" fmla="*/ 198120 h 864870"/>
              <a:gd name="connsiteX3" fmla="*/ 882436 w 1074420"/>
              <a:gd name="connsiteY3" fmla="*/ 164314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2455 w 1074420"/>
              <a:gd name="connsiteY14" fmla="*/ 29090 h 864870"/>
              <a:gd name="connsiteX15" fmla="*/ 407670 w 1074420"/>
              <a:gd name="connsiteY15" fmla="*/ 53340 h 864870"/>
              <a:gd name="connsiteX16" fmla="*/ 327660 w 1074420"/>
              <a:gd name="connsiteY16" fmla="*/ 41910 h 864870"/>
              <a:gd name="connsiteX17" fmla="*/ 289560 w 1074420"/>
              <a:gd name="connsiteY17" fmla="*/ 34290 h 864870"/>
              <a:gd name="connsiteX18" fmla="*/ 243840 w 1074420"/>
              <a:gd name="connsiteY18" fmla="*/ 41910 h 864870"/>
              <a:gd name="connsiteX19" fmla="*/ 217170 w 1074420"/>
              <a:gd name="connsiteY19" fmla="*/ 53340 h 864870"/>
              <a:gd name="connsiteX20" fmla="*/ 190500 w 1074420"/>
              <a:gd name="connsiteY20" fmla="*/ 57150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0050 w 1074420"/>
              <a:gd name="connsiteY39" fmla="*/ 716280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35330 w 1074420"/>
              <a:gd name="connsiteY56" fmla="*/ 284845 h 864870"/>
              <a:gd name="connsiteX0" fmla="*/ 1035330 w 1074420"/>
              <a:gd name="connsiteY0" fmla="*/ 284845 h 864870"/>
              <a:gd name="connsiteX1" fmla="*/ 998173 w 1074420"/>
              <a:gd name="connsiteY1" fmla="*/ 246939 h 864870"/>
              <a:gd name="connsiteX2" fmla="*/ 909105 w 1074420"/>
              <a:gd name="connsiteY2" fmla="*/ 198120 h 864870"/>
              <a:gd name="connsiteX3" fmla="*/ 882436 w 1074420"/>
              <a:gd name="connsiteY3" fmla="*/ 164314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2455 w 1074420"/>
              <a:gd name="connsiteY14" fmla="*/ 29090 h 864870"/>
              <a:gd name="connsiteX15" fmla="*/ 407670 w 1074420"/>
              <a:gd name="connsiteY15" fmla="*/ 53340 h 864870"/>
              <a:gd name="connsiteX16" fmla="*/ 327660 w 1074420"/>
              <a:gd name="connsiteY16" fmla="*/ 41910 h 864870"/>
              <a:gd name="connsiteX17" fmla="*/ 289560 w 1074420"/>
              <a:gd name="connsiteY17" fmla="*/ 34290 h 864870"/>
              <a:gd name="connsiteX18" fmla="*/ 243840 w 1074420"/>
              <a:gd name="connsiteY18" fmla="*/ 41910 h 864870"/>
              <a:gd name="connsiteX19" fmla="*/ 217170 w 1074420"/>
              <a:gd name="connsiteY19" fmla="*/ 53340 h 864870"/>
              <a:gd name="connsiteX20" fmla="*/ 170609 w 1074420"/>
              <a:gd name="connsiteY20" fmla="*/ 43847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0050 w 1074420"/>
              <a:gd name="connsiteY39" fmla="*/ 716280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35330 w 1074420"/>
              <a:gd name="connsiteY56" fmla="*/ 284845 h 864870"/>
              <a:gd name="connsiteX0" fmla="*/ 1035330 w 1074420"/>
              <a:gd name="connsiteY0" fmla="*/ 284845 h 864870"/>
              <a:gd name="connsiteX1" fmla="*/ 998173 w 1074420"/>
              <a:gd name="connsiteY1" fmla="*/ 246939 h 864870"/>
              <a:gd name="connsiteX2" fmla="*/ 909105 w 1074420"/>
              <a:gd name="connsiteY2" fmla="*/ 198120 h 864870"/>
              <a:gd name="connsiteX3" fmla="*/ 882436 w 1074420"/>
              <a:gd name="connsiteY3" fmla="*/ 164314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2455 w 1074420"/>
              <a:gd name="connsiteY14" fmla="*/ 29090 h 864870"/>
              <a:gd name="connsiteX15" fmla="*/ 407670 w 1074420"/>
              <a:gd name="connsiteY15" fmla="*/ 53340 h 864870"/>
              <a:gd name="connsiteX16" fmla="*/ 327660 w 1074420"/>
              <a:gd name="connsiteY16" fmla="*/ 41910 h 864870"/>
              <a:gd name="connsiteX17" fmla="*/ 282930 w 1074420"/>
              <a:gd name="connsiteY17" fmla="*/ 30965 h 864870"/>
              <a:gd name="connsiteX18" fmla="*/ 243840 w 1074420"/>
              <a:gd name="connsiteY18" fmla="*/ 41910 h 864870"/>
              <a:gd name="connsiteX19" fmla="*/ 217170 w 1074420"/>
              <a:gd name="connsiteY19" fmla="*/ 53340 h 864870"/>
              <a:gd name="connsiteX20" fmla="*/ 170609 w 1074420"/>
              <a:gd name="connsiteY20" fmla="*/ 43847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0050 w 1074420"/>
              <a:gd name="connsiteY39" fmla="*/ 716280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35330 w 1074420"/>
              <a:gd name="connsiteY56" fmla="*/ 284845 h 864870"/>
              <a:gd name="connsiteX0" fmla="*/ 1035330 w 1074420"/>
              <a:gd name="connsiteY0" fmla="*/ 284845 h 864870"/>
              <a:gd name="connsiteX1" fmla="*/ 998173 w 1074420"/>
              <a:gd name="connsiteY1" fmla="*/ 246939 h 864870"/>
              <a:gd name="connsiteX2" fmla="*/ 909105 w 1074420"/>
              <a:gd name="connsiteY2" fmla="*/ 198120 h 864870"/>
              <a:gd name="connsiteX3" fmla="*/ 882436 w 1074420"/>
              <a:gd name="connsiteY3" fmla="*/ 164314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2455 w 1074420"/>
              <a:gd name="connsiteY14" fmla="*/ 29090 h 864870"/>
              <a:gd name="connsiteX15" fmla="*/ 407670 w 1074420"/>
              <a:gd name="connsiteY15" fmla="*/ 53340 h 864870"/>
              <a:gd name="connsiteX16" fmla="*/ 327660 w 1074420"/>
              <a:gd name="connsiteY16" fmla="*/ 41910 h 864870"/>
              <a:gd name="connsiteX17" fmla="*/ 282930 w 1074420"/>
              <a:gd name="connsiteY17" fmla="*/ 30965 h 864870"/>
              <a:gd name="connsiteX18" fmla="*/ 243840 w 1074420"/>
              <a:gd name="connsiteY18" fmla="*/ 41910 h 864870"/>
              <a:gd name="connsiteX19" fmla="*/ 217170 w 1074420"/>
              <a:gd name="connsiteY19" fmla="*/ 53340 h 864870"/>
              <a:gd name="connsiteX20" fmla="*/ 170609 w 1074420"/>
              <a:gd name="connsiteY20" fmla="*/ 43847 h 864870"/>
              <a:gd name="connsiteX21" fmla="*/ 140970 w 1074420"/>
              <a:gd name="connsiteY21" fmla="*/ 41910 h 864870"/>
              <a:gd name="connsiteX22" fmla="*/ 133350 w 1074420"/>
              <a:gd name="connsiteY22" fmla="*/ 11430 h 864870"/>
              <a:gd name="connsiteX23" fmla="*/ 13335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4281 w 1074420"/>
              <a:gd name="connsiteY39" fmla="*/ 729059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35330 w 1074420"/>
              <a:gd name="connsiteY56" fmla="*/ 284845 h 864870"/>
              <a:gd name="connsiteX0" fmla="*/ 1035330 w 1074420"/>
              <a:gd name="connsiteY0" fmla="*/ 284845 h 864870"/>
              <a:gd name="connsiteX1" fmla="*/ 998173 w 1074420"/>
              <a:gd name="connsiteY1" fmla="*/ 246939 h 864870"/>
              <a:gd name="connsiteX2" fmla="*/ 909105 w 1074420"/>
              <a:gd name="connsiteY2" fmla="*/ 198120 h 864870"/>
              <a:gd name="connsiteX3" fmla="*/ 882436 w 1074420"/>
              <a:gd name="connsiteY3" fmla="*/ 164314 h 864870"/>
              <a:gd name="connsiteX4" fmla="*/ 876300 w 1074420"/>
              <a:gd name="connsiteY4" fmla="*/ 129540 h 864870"/>
              <a:gd name="connsiteX5" fmla="*/ 864870 w 1074420"/>
              <a:gd name="connsiteY5" fmla="*/ 106680 h 864870"/>
              <a:gd name="connsiteX6" fmla="*/ 845820 w 1074420"/>
              <a:gd name="connsiteY6" fmla="*/ 83820 h 864870"/>
              <a:gd name="connsiteX7" fmla="*/ 796290 w 1074420"/>
              <a:gd name="connsiteY7" fmla="*/ 95250 h 864870"/>
              <a:gd name="connsiteX8" fmla="*/ 735330 w 1074420"/>
              <a:gd name="connsiteY8" fmla="*/ 118110 h 864870"/>
              <a:gd name="connsiteX9" fmla="*/ 712470 w 1074420"/>
              <a:gd name="connsiteY9" fmla="*/ 129540 h 864870"/>
              <a:gd name="connsiteX10" fmla="*/ 697230 w 1074420"/>
              <a:gd name="connsiteY10" fmla="*/ 110490 h 864870"/>
              <a:gd name="connsiteX11" fmla="*/ 674370 w 1074420"/>
              <a:gd name="connsiteY11" fmla="*/ 129540 h 864870"/>
              <a:gd name="connsiteX12" fmla="*/ 621030 w 1074420"/>
              <a:gd name="connsiteY12" fmla="*/ 125730 h 864870"/>
              <a:gd name="connsiteX13" fmla="*/ 586740 w 1074420"/>
              <a:gd name="connsiteY13" fmla="*/ 125730 h 864870"/>
              <a:gd name="connsiteX14" fmla="*/ 442455 w 1074420"/>
              <a:gd name="connsiteY14" fmla="*/ 29090 h 864870"/>
              <a:gd name="connsiteX15" fmla="*/ 407670 w 1074420"/>
              <a:gd name="connsiteY15" fmla="*/ 53340 h 864870"/>
              <a:gd name="connsiteX16" fmla="*/ 327660 w 1074420"/>
              <a:gd name="connsiteY16" fmla="*/ 41910 h 864870"/>
              <a:gd name="connsiteX17" fmla="*/ 282930 w 1074420"/>
              <a:gd name="connsiteY17" fmla="*/ 30965 h 864870"/>
              <a:gd name="connsiteX18" fmla="*/ 243840 w 1074420"/>
              <a:gd name="connsiteY18" fmla="*/ 41910 h 864870"/>
              <a:gd name="connsiteX19" fmla="*/ 217170 w 1074420"/>
              <a:gd name="connsiteY19" fmla="*/ 53340 h 864870"/>
              <a:gd name="connsiteX20" fmla="*/ 170609 w 1074420"/>
              <a:gd name="connsiteY20" fmla="*/ 43847 h 864870"/>
              <a:gd name="connsiteX21" fmla="*/ 140970 w 1074420"/>
              <a:gd name="connsiteY21" fmla="*/ 41910 h 864870"/>
              <a:gd name="connsiteX22" fmla="*/ 133350 w 1074420"/>
              <a:gd name="connsiteY22" fmla="*/ 11430 h 864870"/>
              <a:gd name="connsiteX23" fmla="*/ 120660 w 1074420"/>
              <a:gd name="connsiteY23" fmla="*/ 0 h 864870"/>
              <a:gd name="connsiteX24" fmla="*/ 68580 w 1074420"/>
              <a:gd name="connsiteY24" fmla="*/ 110490 h 864870"/>
              <a:gd name="connsiteX25" fmla="*/ 22860 w 1074420"/>
              <a:gd name="connsiteY25" fmla="*/ 106680 h 864870"/>
              <a:gd name="connsiteX26" fmla="*/ 11430 w 1074420"/>
              <a:gd name="connsiteY26" fmla="*/ 133350 h 864870"/>
              <a:gd name="connsiteX27" fmla="*/ 0 w 1074420"/>
              <a:gd name="connsiteY27" fmla="*/ 144780 h 864870"/>
              <a:gd name="connsiteX28" fmla="*/ 11430 w 1074420"/>
              <a:gd name="connsiteY28" fmla="*/ 209550 h 864870"/>
              <a:gd name="connsiteX29" fmla="*/ 11430 w 1074420"/>
              <a:gd name="connsiteY29" fmla="*/ 220980 h 864870"/>
              <a:gd name="connsiteX30" fmla="*/ 60960 w 1074420"/>
              <a:gd name="connsiteY30" fmla="*/ 300990 h 864870"/>
              <a:gd name="connsiteX31" fmla="*/ 64770 w 1074420"/>
              <a:gd name="connsiteY31" fmla="*/ 441960 h 864870"/>
              <a:gd name="connsiteX32" fmla="*/ 144780 w 1074420"/>
              <a:gd name="connsiteY32" fmla="*/ 502920 h 864870"/>
              <a:gd name="connsiteX33" fmla="*/ 163830 w 1074420"/>
              <a:gd name="connsiteY33" fmla="*/ 567690 h 864870"/>
              <a:gd name="connsiteX34" fmla="*/ 186690 w 1074420"/>
              <a:gd name="connsiteY34" fmla="*/ 605790 h 864870"/>
              <a:gd name="connsiteX35" fmla="*/ 224790 w 1074420"/>
              <a:gd name="connsiteY35" fmla="*/ 601980 h 864870"/>
              <a:gd name="connsiteX36" fmla="*/ 262890 w 1074420"/>
              <a:gd name="connsiteY36" fmla="*/ 731520 h 864870"/>
              <a:gd name="connsiteX37" fmla="*/ 350520 w 1074420"/>
              <a:gd name="connsiteY37" fmla="*/ 731520 h 864870"/>
              <a:gd name="connsiteX38" fmla="*/ 381000 w 1074420"/>
              <a:gd name="connsiteY38" fmla="*/ 689610 h 864870"/>
              <a:gd name="connsiteX39" fmla="*/ 404281 w 1074420"/>
              <a:gd name="connsiteY39" fmla="*/ 729059 h 864870"/>
              <a:gd name="connsiteX40" fmla="*/ 441960 w 1074420"/>
              <a:gd name="connsiteY40" fmla="*/ 701040 h 864870"/>
              <a:gd name="connsiteX41" fmla="*/ 483870 w 1074420"/>
              <a:gd name="connsiteY41" fmla="*/ 708660 h 864870"/>
              <a:gd name="connsiteX42" fmla="*/ 491490 w 1074420"/>
              <a:gd name="connsiteY42" fmla="*/ 746760 h 864870"/>
              <a:gd name="connsiteX43" fmla="*/ 544830 w 1074420"/>
              <a:gd name="connsiteY43" fmla="*/ 796290 h 864870"/>
              <a:gd name="connsiteX44" fmla="*/ 537210 w 1074420"/>
              <a:gd name="connsiteY44" fmla="*/ 838200 h 864870"/>
              <a:gd name="connsiteX45" fmla="*/ 506730 w 1074420"/>
              <a:gd name="connsiteY45" fmla="*/ 853440 h 864870"/>
              <a:gd name="connsiteX46" fmla="*/ 605790 w 1074420"/>
              <a:gd name="connsiteY46" fmla="*/ 864870 h 864870"/>
              <a:gd name="connsiteX47" fmla="*/ 765810 w 1074420"/>
              <a:gd name="connsiteY47" fmla="*/ 834390 h 864870"/>
              <a:gd name="connsiteX48" fmla="*/ 811530 w 1074420"/>
              <a:gd name="connsiteY48" fmla="*/ 769620 h 864870"/>
              <a:gd name="connsiteX49" fmla="*/ 811530 w 1074420"/>
              <a:gd name="connsiteY49" fmla="*/ 693420 h 864870"/>
              <a:gd name="connsiteX50" fmla="*/ 1002030 w 1074420"/>
              <a:gd name="connsiteY50" fmla="*/ 647700 h 864870"/>
              <a:gd name="connsiteX51" fmla="*/ 1002030 w 1074420"/>
              <a:gd name="connsiteY51" fmla="*/ 548640 h 864870"/>
              <a:gd name="connsiteX52" fmla="*/ 1009650 w 1074420"/>
              <a:gd name="connsiteY52" fmla="*/ 537210 h 864870"/>
              <a:gd name="connsiteX53" fmla="*/ 1074420 w 1074420"/>
              <a:gd name="connsiteY53" fmla="*/ 468630 h 864870"/>
              <a:gd name="connsiteX54" fmla="*/ 1043940 w 1074420"/>
              <a:gd name="connsiteY54" fmla="*/ 453390 h 864870"/>
              <a:gd name="connsiteX55" fmla="*/ 994410 w 1074420"/>
              <a:gd name="connsiteY55" fmla="*/ 346710 h 864870"/>
              <a:gd name="connsiteX56" fmla="*/ 1035330 w 1074420"/>
              <a:gd name="connsiteY56" fmla="*/ 284845 h 86487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Lst>
            <a:rect l="l" t="t" r="r" b="b"/>
            <a:pathLst>
              <a:path w="1074420" h="864870">
                <a:moveTo>
                  <a:pt x="1035330" y="284845"/>
                </a:moveTo>
                <a:lnTo>
                  <a:pt x="998173" y="246939"/>
                </a:lnTo>
                <a:lnTo>
                  <a:pt x="909105" y="198120"/>
                </a:lnTo>
                <a:lnTo>
                  <a:pt x="882436" y="164314"/>
                </a:lnTo>
                <a:lnTo>
                  <a:pt x="876300" y="129540"/>
                </a:lnTo>
                <a:lnTo>
                  <a:pt x="864870" y="106680"/>
                </a:lnTo>
                <a:lnTo>
                  <a:pt x="845820" y="83820"/>
                </a:lnTo>
                <a:lnTo>
                  <a:pt x="796290" y="95250"/>
                </a:lnTo>
                <a:lnTo>
                  <a:pt x="735330" y="118110"/>
                </a:lnTo>
                <a:lnTo>
                  <a:pt x="712470" y="129540"/>
                </a:lnTo>
                <a:lnTo>
                  <a:pt x="697230" y="110490"/>
                </a:lnTo>
                <a:lnTo>
                  <a:pt x="674370" y="129540"/>
                </a:lnTo>
                <a:lnTo>
                  <a:pt x="621030" y="125730"/>
                </a:lnTo>
                <a:lnTo>
                  <a:pt x="586740" y="125730"/>
                </a:lnTo>
                <a:lnTo>
                  <a:pt x="442455" y="29090"/>
                </a:lnTo>
                <a:lnTo>
                  <a:pt x="407670" y="53340"/>
                </a:lnTo>
                <a:lnTo>
                  <a:pt x="327660" y="41910"/>
                </a:lnTo>
                <a:lnTo>
                  <a:pt x="282930" y="30965"/>
                </a:lnTo>
                <a:lnTo>
                  <a:pt x="243840" y="41910"/>
                </a:lnTo>
                <a:lnTo>
                  <a:pt x="217170" y="53340"/>
                </a:lnTo>
                <a:lnTo>
                  <a:pt x="170609" y="43847"/>
                </a:lnTo>
                <a:lnTo>
                  <a:pt x="140970" y="41910"/>
                </a:lnTo>
                <a:lnTo>
                  <a:pt x="133350" y="11430"/>
                </a:lnTo>
                <a:lnTo>
                  <a:pt x="120660" y="0"/>
                </a:lnTo>
                <a:lnTo>
                  <a:pt x="68580" y="110490"/>
                </a:lnTo>
                <a:lnTo>
                  <a:pt x="22860" y="106680"/>
                </a:lnTo>
                <a:lnTo>
                  <a:pt x="11430" y="133350"/>
                </a:lnTo>
                <a:lnTo>
                  <a:pt x="0" y="144780"/>
                </a:lnTo>
                <a:lnTo>
                  <a:pt x="11430" y="209550"/>
                </a:lnTo>
                <a:lnTo>
                  <a:pt x="11430" y="220980"/>
                </a:lnTo>
                <a:lnTo>
                  <a:pt x="60960" y="300990"/>
                </a:lnTo>
                <a:lnTo>
                  <a:pt x="64770" y="441960"/>
                </a:lnTo>
                <a:lnTo>
                  <a:pt x="144780" y="502920"/>
                </a:lnTo>
                <a:lnTo>
                  <a:pt x="163830" y="567690"/>
                </a:lnTo>
                <a:lnTo>
                  <a:pt x="186690" y="605790"/>
                </a:lnTo>
                <a:lnTo>
                  <a:pt x="224790" y="601980"/>
                </a:lnTo>
                <a:lnTo>
                  <a:pt x="262890" y="731520"/>
                </a:lnTo>
                <a:lnTo>
                  <a:pt x="350520" y="731520"/>
                </a:lnTo>
                <a:lnTo>
                  <a:pt x="381000" y="689610"/>
                </a:lnTo>
                <a:lnTo>
                  <a:pt x="404281" y="729059"/>
                </a:lnTo>
                <a:lnTo>
                  <a:pt x="441960" y="701040"/>
                </a:lnTo>
                <a:lnTo>
                  <a:pt x="483870" y="708660"/>
                </a:lnTo>
                <a:lnTo>
                  <a:pt x="491490" y="746760"/>
                </a:lnTo>
                <a:lnTo>
                  <a:pt x="544830" y="796290"/>
                </a:lnTo>
                <a:lnTo>
                  <a:pt x="537210" y="838200"/>
                </a:lnTo>
                <a:lnTo>
                  <a:pt x="506730" y="853440"/>
                </a:lnTo>
                <a:lnTo>
                  <a:pt x="605790" y="864870"/>
                </a:lnTo>
                <a:lnTo>
                  <a:pt x="765810" y="834390"/>
                </a:lnTo>
                <a:lnTo>
                  <a:pt x="811530" y="769620"/>
                </a:lnTo>
                <a:lnTo>
                  <a:pt x="811530" y="693420"/>
                </a:lnTo>
                <a:lnTo>
                  <a:pt x="1002030" y="647700"/>
                </a:lnTo>
                <a:lnTo>
                  <a:pt x="1002030" y="548640"/>
                </a:lnTo>
                <a:lnTo>
                  <a:pt x="1009650" y="537210"/>
                </a:lnTo>
                <a:lnTo>
                  <a:pt x="1074420" y="468630"/>
                </a:lnTo>
                <a:lnTo>
                  <a:pt x="1043940" y="453390"/>
                </a:lnTo>
                <a:lnTo>
                  <a:pt x="994410" y="346710"/>
                </a:lnTo>
                <a:lnTo>
                  <a:pt x="1035330" y="284845"/>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34" name="Champagne_Alsace_Lorraine">
            <a:extLst>
              <a:ext uri="{FF2B5EF4-FFF2-40B4-BE49-F238E27FC236}">
                <a16:creationId xmlns:a16="http://schemas.microsoft.com/office/drawing/2014/main" id="{00000000-0008-0000-0100-00004E010000}"/>
              </a:ext>
            </a:extLst>
          </xdr:cNvPr>
          <xdr:cNvSpPr/>
        </xdr:nvSpPr>
        <xdr:spPr>
          <a:xfrm>
            <a:off x="5542447" y="1940888"/>
            <a:ext cx="2704964" cy="2006514"/>
          </a:xfrm>
          <a:custGeom>
            <a:avLst/>
            <a:gdLst>
              <a:gd name="connsiteX0" fmla="*/ 403412 w 2460812"/>
              <a:gd name="connsiteY0" fmla="*/ 165847 h 2079812"/>
              <a:gd name="connsiteX1" fmla="*/ 502024 w 2460812"/>
              <a:gd name="connsiteY1" fmla="*/ 183776 h 2079812"/>
              <a:gd name="connsiteX2" fmla="*/ 614082 w 2460812"/>
              <a:gd name="connsiteY2" fmla="*/ 134470 h 2079812"/>
              <a:gd name="connsiteX3" fmla="*/ 636494 w 2460812"/>
              <a:gd name="connsiteY3" fmla="*/ 49306 h 2079812"/>
              <a:gd name="connsiteX4" fmla="*/ 694765 w 2460812"/>
              <a:gd name="connsiteY4" fmla="*/ 0 h 2079812"/>
              <a:gd name="connsiteX5" fmla="*/ 721659 w 2460812"/>
              <a:gd name="connsiteY5" fmla="*/ 17929 h 2079812"/>
              <a:gd name="connsiteX6" fmla="*/ 694765 w 2460812"/>
              <a:gd name="connsiteY6" fmla="*/ 71717 h 2079812"/>
              <a:gd name="connsiteX7" fmla="*/ 694765 w 2460812"/>
              <a:gd name="connsiteY7" fmla="*/ 94129 h 2079812"/>
              <a:gd name="connsiteX8" fmla="*/ 694765 w 2460812"/>
              <a:gd name="connsiteY8" fmla="*/ 116541 h 2079812"/>
              <a:gd name="connsiteX9" fmla="*/ 699247 w 2460812"/>
              <a:gd name="connsiteY9" fmla="*/ 143435 h 2079812"/>
              <a:gd name="connsiteX10" fmla="*/ 726141 w 2460812"/>
              <a:gd name="connsiteY10" fmla="*/ 215153 h 2079812"/>
              <a:gd name="connsiteX11" fmla="*/ 726141 w 2460812"/>
              <a:gd name="connsiteY11" fmla="*/ 251012 h 2079812"/>
              <a:gd name="connsiteX12" fmla="*/ 712694 w 2460812"/>
              <a:gd name="connsiteY12" fmla="*/ 277906 h 2079812"/>
              <a:gd name="connsiteX13" fmla="*/ 712694 w 2460812"/>
              <a:gd name="connsiteY13" fmla="*/ 286870 h 2079812"/>
              <a:gd name="connsiteX14" fmla="*/ 784412 w 2460812"/>
              <a:gd name="connsiteY14" fmla="*/ 286870 h 2079812"/>
              <a:gd name="connsiteX15" fmla="*/ 869577 w 2460812"/>
              <a:gd name="connsiteY15" fmla="*/ 358588 h 2079812"/>
              <a:gd name="connsiteX16" fmla="*/ 954741 w 2460812"/>
              <a:gd name="connsiteY16" fmla="*/ 381000 h 2079812"/>
              <a:gd name="connsiteX17" fmla="*/ 954741 w 2460812"/>
              <a:gd name="connsiteY17" fmla="*/ 421341 h 2079812"/>
              <a:gd name="connsiteX18" fmla="*/ 995082 w 2460812"/>
              <a:gd name="connsiteY18" fmla="*/ 421341 h 2079812"/>
              <a:gd name="connsiteX19" fmla="*/ 1039906 w 2460812"/>
              <a:gd name="connsiteY19" fmla="*/ 502023 h 2079812"/>
              <a:gd name="connsiteX20" fmla="*/ 1044388 w 2460812"/>
              <a:gd name="connsiteY20" fmla="*/ 510988 h 2079812"/>
              <a:gd name="connsiteX21" fmla="*/ 1098177 w 2460812"/>
              <a:gd name="connsiteY21" fmla="*/ 510988 h 2079812"/>
              <a:gd name="connsiteX22" fmla="*/ 1125071 w 2460812"/>
              <a:gd name="connsiteY22" fmla="*/ 470647 h 2079812"/>
              <a:gd name="connsiteX23" fmla="*/ 1196788 w 2460812"/>
              <a:gd name="connsiteY23" fmla="*/ 466164 h 2079812"/>
              <a:gd name="connsiteX24" fmla="*/ 1304365 w 2460812"/>
              <a:gd name="connsiteY24" fmla="*/ 528917 h 2079812"/>
              <a:gd name="connsiteX25" fmla="*/ 1326777 w 2460812"/>
              <a:gd name="connsiteY25" fmla="*/ 537882 h 2079812"/>
              <a:gd name="connsiteX26" fmla="*/ 1344706 w 2460812"/>
              <a:gd name="connsiteY26" fmla="*/ 533400 h 2079812"/>
              <a:gd name="connsiteX27" fmla="*/ 1416424 w 2460812"/>
              <a:gd name="connsiteY27" fmla="*/ 484094 h 2079812"/>
              <a:gd name="connsiteX28" fmla="*/ 1546412 w 2460812"/>
              <a:gd name="connsiteY28" fmla="*/ 524435 h 2079812"/>
              <a:gd name="connsiteX29" fmla="*/ 1591235 w 2460812"/>
              <a:gd name="connsiteY29" fmla="*/ 533400 h 2079812"/>
              <a:gd name="connsiteX30" fmla="*/ 1604682 w 2460812"/>
              <a:gd name="connsiteY30" fmla="*/ 596153 h 2079812"/>
              <a:gd name="connsiteX31" fmla="*/ 1712259 w 2460812"/>
              <a:gd name="connsiteY31" fmla="*/ 735106 h 2079812"/>
              <a:gd name="connsiteX32" fmla="*/ 1752600 w 2460812"/>
              <a:gd name="connsiteY32" fmla="*/ 744070 h 2079812"/>
              <a:gd name="connsiteX33" fmla="*/ 1752600 w 2460812"/>
              <a:gd name="connsiteY33" fmla="*/ 744070 h 2079812"/>
              <a:gd name="connsiteX34" fmla="*/ 1788459 w 2460812"/>
              <a:gd name="connsiteY34" fmla="*/ 694764 h 2079812"/>
              <a:gd name="connsiteX35" fmla="*/ 1828800 w 2460812"/>
              <a:gd name="connsiteY35" fmla="*/ 699247 h 2079812"/>
              <a:gd name="connsiteX36" fmla="*/ 1851212 w 2460812"/>
              <a:gd name="connsiteY36" fmla="*/ 753035 h 2079812"/>
              <a:gd name="connsiteX37" fmla="*/ 1887071 w 2460812"/>
              <a:gd name="connsiteY37" fmla="*/ 739588 h 2079812"/>
              <a:gd name="connsiteX38" fmla="*/ 1972235 w 2460812"/>
              <a:gd name="connsiteY38" fmla="*/ 757517 h 2079812"/>
              <a:gd name="connsiteX39" fmla="*/ 2057400 w 2460812"/>
              <a:gd name="connsiteY39" fmla="*/ 703729 h 2079812"/>
              <a:gd name="connsiteX40" fmla="*/ 2160494 w 2460812"/>
              <a:gd name="connsiteY40" fmla="*/ 797859 h 2079812"/>
              <a:gd name="connsiteX41" fmla="*/ 2339788 w 2460812"/>
              <a:gd name="connsiteY41" fmla="*/ 806823 h 2079812"/>
              <a:gd name="connsiteX42" fmla="*/ 2460812 w 2460812"/>
              <a:gd name="connsiteY42" fmla="*/ 847164 h 2079812"/>
              <a:gd name="connsiteX43" fmla="*/ 2393577 w 2460812"/>
              <a:gd name="connsiteY43" fmla="*/ 999564 h 2079812"/>
              <a:gd name="connsiteX44" fmla="*/ 2268071 w 2460812"/>
              <a:gd name="connsiteY44" fmla="*/ 1156447 h 2079812"/>
              <a:gd name="connsiteX45" fmla="*/ 2254624 w 2460812"/>
              <a:gd name="connsiteY45" fmla="*/ 1353670 h 2079812"/>
              <a:gd name="connsiteX46" fmla="*/ 2178424 w 2460812"/>
              <a:gd name="connsiteY46" fmla="*/ 1524000 h 2079812"/>
              <a:gd name="connsiteX47" fmla="*/ 2205318 w 2460812"/>
              <a:gd name="connsiteY47" fmla="*/ 1671917 h 2079812"/>
              <a:gd name="connsiteX48" fmla="*/ 2164977 w 2460812"/>
              <a:gd name="connsiteY48" fmla="*/ 1855694 h 2079812"/>
              <a:gd name="connsiteX49" fmla="*/ 2205318 w 2460812"/>
              <a:gd name="connsiteY49" fmla="*/ 1945341 h 2079812"/>
              <a:gd name="connsiteX50" fmla="*/ 2187388 w 2460812"/>
              <a:gd name="connsiteY50" fmla="*/ 1976717 h 2079812"/>
              <a:gd name="connsiteX51" fmla="*/ 2182906 w 2460812"/>
              <a:gd name="connsiteY51" fmla="*/ 2026023 h 2079812"/>
              <a:gd name="connsiteX52" fmla="*/ 2138082 w 2460812"/>
              <a:gd name="connsiteY52" fmla="*/ 2030506 h 2079812"/>
              <a:gd name="connsiteX53" fmla="*/ 2120153 w 2460812"/>
              <a:gd name="connsiteY53" fmla="*/ 2070847 h 2079812"/>
              <a:gd name="connsiteX54" fmla="*/ 2008094 w 2460812"/>
              <a:gd name="connsiteY54" fmla="*/ 2079812 h 2079812"/>
              <a:gd name="connsiteX55" fmla="*/ 2017059 w 2460812"/>
              <a:gd name="connsiteY55" fmla="*/ 2043953 h 2079812"/>
              <a:gd name="connsiteX56" fmla="*/ 1985682 w 2460812"/>
              <a:gd name="connsiteY56" fmla="*/ 2043953 h 2079812"/>
              <a:gd name="connsiteX57" fmla="*/ 1958788 w 2460812"/>
              <a:gd name="connsiteY57" fmla="*/ 1967753 h 2079812"/>
              <a:gd name="connsiteX58" fmla="*/ 1918447 w 2460812"/>
              <a:gd name="connsiteY58" fmla="*/ 1967753 h 2079812"/>
              <a:gd name="connsiteX59" fmla="*/ 1909482 w 2460812"/>
              <a:gd name="connsiteY59" fmla="*/ 1855694 h 2079812"/>
              <a:gd name="connsiteX60" fmla="*/ 1824318 w 2460812"/>
              <a:gd name="connsiteY60" fmla="*/ 1792941 h 2079812"/>
              <a:gd name="connsiteX61" fmla="*/ 1810871 w 2460812"/>
              <a:gd name="connsiteY61" fmla="*/ 1806388 h 2079812"/>
              <a:gd name="connsiteX62" fmla="*/ 1698812 w 2460812"/>
              <a:gd name="connsiteY62" fmla="*/ 1721223 h 2079812"/>
              <a:gd name="connsiteX63" fmla="*/ 1649506 w 2460812"/>
              <a:gd name="connsiteY63" fmla="*/ 1743635 h 2079812"/>
              <a:gd name="connsiteX64" fmla="*/ 1568824 w 2460812"/>
              <a:gd name="connsiteY64" fmla="*/ 1698812 h 2079812"/>
              <a:gd name="connsiteX65" fmla="*/ 1501588 w 2460812"/>
              <a:gd name="connsiteY65" fmla="*/ 1716741 h 2079812"/>
              <a:gd name="connsiteX66" fmla="*/ 1420906 w 2460812"/>
              <a:gd name="connsiteY66" fmla="*/ 1662953 h 2079812"/>
              <a:gd name="connsiteX67" fmla="*/ 1411941 w 2460812"/>
              <a:gd name="connsiteY67" fmla="*/ 1667435 h 2079812"/>
              <a:gd name="connsiteX68" fmla="*/ 1304365 w 2460812"/>
              <a:gd name="connsiteY68" fmla="*/ 1734670 h 2079812"/>
              <a:gd name="connsiteX69" fmla="*/ 1304365 w 2460812"/>
              <a:gd name="connsiteY69" fmla="*/ 1743635 h 2079812"/>
              <a:gd name="connsiteX70" fmla="*/ 1277471 w 2460812"/>
              <a:gd name="connsiteY70" fmla="*/ 1797423 h 2079812"/>
              <a:gd name="connsiteX71" fmla="*/ 1250577 w 2460812"/>
              <a:gd name="connsiteY71" fmla="*/ 1788459 h 2079812"/>
              <a:gd name="connsiteX72" fmla="*/ 1223682 w 2460812"/>
              <a:gd name="connsiteY72" fmla="*/ 1824317 h 2079812"/>
              <a:gd name="connsiteX73" fmla="*/ 1214718 w 2460812"/>
              <a:gd name="connsiteY73" fmla="*/ 1913964 h 2079812"/>
              <a:gd name="connsiteX74" fmla="*/ 1192306 w 2460812"/>
              <a:gd name="connsiteY74" fmla="*/ 1936376 h 2079812"/>
              <a:gd name="connsiteX75" fmla="*/ 1151965 w 2460812"/>
              <a:gd name="connsiteY75" fmla="*/ 1918447 h 2079812"/>
              <a:gd name="connsiteX76" fmla="*/ 1071282 w 2460812"/>
              <a:gd name="connsiteY76" fmla="*/ 1958788 h 2079812"/>
              <a:gd name="connsiteX77" fmla="*/ 1057835 w 2460812"/>
              <a:gd name="connsiteY77" fmla="*/ 1990164 h 2079812"/>
              <a:gd name="connsiteX78" fmla="*/ 999565 w 2460812"/>
              <a:gd name="connsiteY78" fmla="*/ 2017059 h 2079812"/>
              <a:gd name="connsiteX79" fmla="*/ 986118 w 2460812"/>
              <a:gd name="connsiteY79" fmla="*/ 2021541 h 2079812"/>
              <a:gd name="connsiteX80" fmla="*/ 986118 w 2460812"/>
              <a:gd name="connsiteY80" fmla="*/ 1972235 h 2079812"/>
              <a:gd name="connsiteX81" fmla="*/ 833718 w 2460812"/>
              <a:gd name="connsiteY81" fmla="*/ 1936376 h 2079812"/>
              <a:gd name="connsiteX82" fmla="*/ 811306 w 2460812"/>
              <a:gd name="connsiteY82" fmla="*/ 1878106 h 2079812"/>
              <a:gd name="connsiteX83" fmla="*/ 833718 w 2460812"/>
              <a:gd name="connsiteY83" fmla="*/ 1842247 h 2079812"/>
              <a:gd name="connsiteX84" fmla="*/ 820271 w 2460812"/>
              <a:gd name="connsiteY84" fmla="*/ 1783976 h 2079812"/>
              <a:gd name="connsiteX85" fmla="*/ 766482 w 2460812"/>
              <a:gd name="connsiteY85" fmla="*/ 1783976 h 2079812"/>
              <a:gd name="connsiteX86" fmla="*/ 770965 w 2460812"/>
              <a:gd name="connsiteY86" fmla="*/ 1748117 h 2079812"/>
              <a:gd name="connsiteX87" fmla="*/ 739588 w 2460812"/>
              <a:gd name="connsiteY87" fmla="*/ 1725706 h 2079812"/>
              <a:gd name="connsiteX88" fmla="*/ 735106 w 2460812"/>
              <a:gd name="connsiteY88" fmla="*/ 1707776 h 2079812"/>
              <a:gd name="connsiteX89" fmla="*/ 640977 w 2460812"/>
              <a:gd name="connsiteY89" fmla="*/ 1676400 h 2079812"/>
              <a:gd name="connsiteX90" fmla="*/ 582706 w 2460812"/>
              <a:gd name="connsiteY90" fmla="*/ 1721223 h 2079812"/>
              <a:gd name="connsiteX91" fmla="*/ 506506 w 2460812"/>
              <a:gd name="connsiteY91" fmla="*/ 1734670 h 2079812"/>
              <a:gd name="connsiteX92" fmla="*/ 479612 w 2460812"/>
              <a:gd name="connsiteY92" fmla="*/ 1766047 h 2079812"/>
              <a:gd name="connsiteX93" fmla="*/ 425824 w 2460812"/>
              <a:gd name="connsiteY93" fmla="*/ 1748117 h 2079812"/>
              <a:gd name="connsiteX94" fmla="*/ 286871 w 2460812"/>
              <a:gd name="connsiteY94" fmla="*/ 1752600 h 2079812"/>
              <a:gd name="connsiteX95" fmla="*/ 197224 w 2460812"/>
              <a:gd name="connsiteY95" fmla="*/ 1600200 h 2079812"/>
              <a:gd name="connsiteX96" fmla="*/ 170329 w 2460812"/>
              <a:gd name="connsiteY96" fmla="*/ 1582270 h 2079812"/>
              <a:gd name="connsiteX97" fmla="*/ 138953 w 2460812"/>
              <a:gd name="connsiteY97" fmla="*/ 1600200 h 2079812"/>
              <a:gd name="connsiteX98" fmla="*/ 107577 w 2460812"/>
              <a:gd name="connsiteY98" fmla="*/ 1483659 h 2079812"/>
              <a:gd name="connsiteX99" fmla="*/ 58271 w 2460812"/>
              <a:gd name="connsiteY99" fmla="*/ 1434353 h 2079812"/>
              <a:gd name="connsiteX100" fmla="*/ 0 w 2460812"/>
              <a:gd name="connsiteY100" fmla="*/ 1411941 h 2079812"/>
              <a:gd name="connsiteX101" fmla="*/ 4482 w 2460812"/>
              <a:gd name="connsiteY101" fmla="*/ 1286435 h 2079812"/>
              <a:gd name="connsiteX102" fmla="*/ 31377 w 2460812"/>
              <a:gd name="connsiteY102" fmla="*/ 1264023 h 2079812"/>
              <a:gd name="connsiteX103" fmla="*/ 62753 w 2460812"/>
              <a:gd name="connsiteY103" fmla="*/ 1219200 h 2079812"/>
              <a:gd name="connsiteX104" fmla="*/ 40341 w 2460812"/>
              <a:gd name="connsiteY104" fmla="*/ 1178859 h 2079812"/>
              <a:gd name="connsiteX105" fmla="*/ 13447 w 2460812"/>
              <a:gd name="connsiteY105" fmla="*/ 1102659 h 2079812"/>
              <a:gd name="connsiteX106" fmla="*/ 31377 w 2460812"/>
              <a:gd name="connsiteY106" fmla="*/ 1044388 h 2079812"/>
              <a:gd name="connsiteX107" fmla="*/ 129988 w 2460812"/>
              <a:gd name="connsiteY107" fmla="*/ 896470 h 2079812"/>
              <a:gd name="connsiteX108" fmla="*/ 107577 w 2460812"/>
              <a:gd name="connsiteY108" fmla="*/ 883023 h 2079812"/>
              <a:gd name="connsiteX109" fmla="*/ 107577 w 2460812"/>
              <a:gd name="connsiteY109" fmla="*/ 860612 h 2079812"/>
              <a:gd name="connsiteX110" fmla="*/ 94129 w 2460812"/>
              <a:gd name="connsiteY110" fmla="*/ 824753 h 2079812"/>
              <a:gd name="connsiteX111" fmla="*/ 161365 w 2460812"/>
              <a:gd name="connsiteY111" fmla="*/ 793376 h 2079812"/>
              <a:gd name="connsiteX112" fmla="*/ 121024 w 2460812"/>
              <a:gd name="connsiteY112" fmla="*/ 708212 h 2079812"/>
              <a:gd name="connsiteX113" fmla="*/ 134471 w 2460812"/>
              <a:gd name="connsiteY113" fmla="*/ 654423 h 2079812"/>
              <a:gd name="connsiteX114" fmla="*/ 246529 w 2460812"/>
              <a:gd name="connsiteY114" fmla="*/ 609600 h 2079812"/>
              <a:gd name="connsiteX115" fmla="*/ 291353 w 2460812"/>
              <a:gd name="connsiteY115" fmla="*/ 632012 h 2079812"/>
              <a:gd name="connsiteX116" fmla="*/ 322729 w 2460812"/>
              <a:gd name="connsiteY116" fmla="*/ 591670 h 2079812"/>
              <a:gd name="connsiteX117" fmla="*/ 313765 w 2460812"/>
              <a:gd name="connsiteY117" fmla="*/ 416859 h 2079812"/>
              <a:gd name="connsiteX118" fmla="*/ 358588 w 2460812"/>
              <a:gd name="connsiteY118" fmla="*/ 398929 h 2079812"/>
              <a:gd name="connsiteX119" fmla="*/ 412377 w 2460812"/>
              <a:gd name="connsiteY119" fmla="*/ 313764 h 2079812"/>
              <a:gd name="connsiteX120" fmla="*/ 403412 w 2460812"/>
              <a:gd name="connsiteY120" fmla="*/ 268941 h 2079812"/>
              <a:gd name="connsiteX121" fmla="*/ 403412 w 2460812"/>
              <a:gd name="connsiteY121" fmla="*/ 165847 h 2079812"/>
              <a:gd name="connsiteX0" fmla="*/ 411177 w 2468577"/>
              <a:gd name="connsiteY0" fmla="*/ 165847 h 2079812"/>
              <a:gd name="connsiteX1" fmla="*/ 509789 w 2468577"/>
              <a:gd name="connsiteY1" fmla="*/ 183776 h 2079812"/>
              <a:gd name="connsiteX2" fmla="*/ 621847 w 2468577"/>
              <a:gd name="connsiteY2" fmla="*/ 134470 h 2079812"/>
              <a:gd name="connsiteX3" fmla="*/ 644259 w 2468577"/>
              <a:gd name="connsiteY3" fmla="*/ 49306 h 2079812"/>
              <a:gd name="connsiteX4" fmla="*/ 702530 w 2468577"/>
              <a:gd name="connsiteY4" fmla="*/ 0 h 2079812"/>
              <a:gd name="connsiteX5" fmla="*/ 729424 w 2468577"/>
              <a:gd name="connsiteY5" fmla="*/ 17929 h 2079812"/>
              <a:gd name="connsiteX6" fmla="*/ 702530 w 2468577"/>
              <a:gd name="connsiteY6" fmla="*/ 71717 h 2079812"/>
              <a:gd name="connsiteX7" fmla="*/ 702530 w 2468577"/>
              <a:gd name="connsiteY7" fmla="*/ 94129 h 2079812"/>
              <a:gd name="connsiteX8" fmla="*/ 702530 w 2468577"/>
              <a:gd name="connsiteY8" fmla="*/ 116541 h 2079812"/>
              <a:gd name="connsiteX9" fmla="*/ 707012 w 2468577"/>
              <a:gd name="connsiteY9" fmla="*/ 143435 h 2079812"/>
              <a:gd name="connsiteX10" fmla="*/ 733906 w 2468577"/>
              <a:gd name="connsiteY10" fmla="*/ 215153 h 2079812"/>
              <a:gd name="connsiteX11" fmla="*/ 733906 w 2468577"/>
              <a:gd name="connsiteY11" fmla="*/ 251012 h 2079812"/>
              <a:gd name="connsiteX12" fmla="*/ 720459 w 2468577"/>
              <a:gd name="connsiteY12" fmla="*/ 277906 h 2079812"/>
              <a:gd name="connsiteX13" fmla="*/ 720459 w 2468577"/>
              <a:gd name="connsiteY13" fmla="*/ 286870 h 2079812"/>
              <a:gd name="connsiteX14" fmla="*/ 792177 w 2468577"/>
              <a:gd name="connsiteY14" fmla="*/ 286870 h 2079812"/>
              <a:gd name="connsiteX15" fmla="*/ 877342 w 2468577"/>
              <a:gd name="connsiteY15" fmla="*/ 358588 h 2079812"/>
              <a:gd name="connsiteX16" fmla="*/ 962506 w 2468577"/>
              <a:gd name="connsiteY16" fmla="*/ 381000 h 2079812"/>
              <a:gd name="connsiteX17" fmla="*/ 962506 w 2468577"/>
              <a:gd name="connsiteY17" fmla="*/ 421341 h 2079812"/>
              <a:gd name="connsiteX18" fmla="*/ 1002847 w 2468577"/>
              <a:gd name="connsiteY18" fmla="*/ 421341 h 2079812"/>
              <a:gd name="connsiteX19" fmla="*/ 1047671 w 2468577"/>
              <a:gd name="connsiteY19" fmla="*/ 502023 h 2079812"/>
              <a:gd name="connsiteX20" fmla="*/ 1052153 w 2468577"/>
              <a:gd name="connsiteY20" fmla="*/ 510988 h 2079812"/>
              <a:gd name="connsiteX21" fmla="*/ 1105942 w 2468577"/>
              <a:gd name="connsiteY21" fmla="*/ 510988 h 2079812"/>
              <a:gd name="connsiteX22" fmla="*/ 1132836 w 2468577"/>
              <a:gd name="connsiteY22" fmla="*/ 470647 h 2079812"/>
              <a:gd name="connsiteX23" fmla="*/ 1204553 w 2468577"/>
              <a:gd name="connsiteY23" fmla="*/ 466164 h 2079812"/>
              <a:gd name="connsiteX24" fmla="*/ 1312130 w 2468577"/>
              <a:gd name="connsiteY24" fmla="*/ 528917 h 2079812"/>
              <a:gd name="connsiteX25" fmla="*/ 1334542 w 2468577"/>
              <a:gd name="connsiteY25" fmla="*/ 537882 h 2079812"/>
              <a:gd name="connsiteX26" fmla="*/ 1352471 w 2468577"/>
              <a:gd name="connsiteY26" fmla="*/ 533400 h 2079812"/>
              <a:gd name="connsiteX27" fmla="*/ 1424189 w 2468577"/>
              <a:gd name="connsiteY27" fmla="*/ 484094 h 2079812"/>
              <a:gd name="connsiteX28" fmla="*/ 1554177 w 2468577"/>
              <a:gd name="connsiteY28" fmla="*/ 524435 h 2079812"/>
              <a:gd name="connsiteX29" fmla="*/ 1599000 w 2468577"/>
              <a:gd name="connsiteY29" fmla="*/ 533400 h 2079812"/>
              <a:gd name="connsiteX30" fmla="*/ 1612447 w 2468577"/>
              <a:gd name="connsiteY30" fmla="*/ 596153 h 2079812"/>
              <a:gd name="connsiteX31" fmla="*/ 1720024 w 2468577"/>
              <a:gd name="connsiteY31" fmla="*/ 735106 h 2079812"/>
              <a:gd name="connsiteX32" fmla="*/ 1760365 w 2468577"/>
              <a:gd name="connsiteY32" fmla="*/ 744070 h 2079812"/>
              <a:gd name="connsiteX33" fmla="*/ 1760365 w 2468577"/>
              <a:gd name="connsiteY33" fmla="*/ 744070 h 2079812"/>
              <a:gd name="connsiteX34" fmla="*/ 1796224 w 2468577"/>
              <a:gd name="connsiteY34" fmla="*/ 694764 h 2079812"/>
              <a:gd name="connsiteX35" fmla="*/ 1836565 w 2468577"/>
              <a:gd name="connsiteY35" fmla="*/ 699247 h 2079812"/>
              <a:gd name="connsiteX36" fmla="*/ 1858977 w 2468577"/>
              <a:gd name="connsiteY36" fmla="*/ 753035 h 2079812"/>
              <a:gd name="connsiteX37" fmla="*/ 1894836 w 2468577"/>
              <a:gd name="connsiteY37" fmla="*/ 739588 h 2079812"/>
              <a:gd name="connsiteX38" fmla="*/ 1980000 w 2468577"/>
              <a:gd name="connsiteY38" fmla="*/ 757517 h 2079812"/>
              <a:gd name="connsiteX39" fmla="*/ 2065165 w 2468577"/>
              <a:gd name="connsiteY39" fmla="*/ 703729 h 2079812"/>
              <a:gd name="connsiteX40" fmla="*/ 2168259 w 2468577"/>
              <a:gd name="connsiteY40" fmla="*/ 797859 h 2079812"/>
              <a:gd name="connsiteX41" fmla="*/ 2347553 w 2468577"/>
              <a:gd name="connsiteY41" fmla="*/ 806823 h 2079812"/>
              <a:gd name="connsiteX42" fmla="*/ 2468577 w 2468577"/>
              <a:gd name="connsiteY42" fmla="*/ 847164 h 2079812"/>
              <a:gd name="connsiteX43" fmla="*/ 2401342 w 2468577"/>
              <a:gd name="connsiteY43" fmla="*/ 999564 h 2079812"/>
              <a:gd name="connsiteX44" fmla="*/ 2275836 w 2468577"/>
              <a:gd name="connsiteY44" fmla="*/ 1156447 h 2079812"/>
              <a:gd name="connsiteX45" fmla="*/ 2262389 w 2468577"/>
              <a:gd name="connsiteY45" fmla="*/ 1353670 h 2079812"/>
              <a:gd name="connsiteX46" fmla="*/ 2186189 w 2468577"/>
              <a:gd name="connsiteY46" fmla="*/ 1524000 h 2079812"/>
              <a:gd name="connsiteX47" fmla="*/ 2213083 w 2468577"/>
              <a:gd name="connsiteY47" fmla="*/ 1671917 h 2079812"/>
              <a:gd name="connsiteX48" fmla="*/ 2172742 w 2468577"/>
              <a:gd name="connsiteY48" fmla="*/ 1855694 h 2079812"/>
              <a:gd name="connsiteX49" fmla="*/ 2213083 w 2468577"/>
              <a:gd name="connsiteY49" fmla="*/ 1945341 h 2079812"/>
              <a:gd name="connsiteX50" fmla="*/ 2195153 w 2468577"/>
              <a:gd name="connsiteY50" fmla="*/ 1976717 h 2079812"/>
              <a:gd name="connsiteX51" fmla="*/ 2190671 w 2468577"/>
              <a:gd name="connsiteY51" fmla="*/ 2026023 h 2079812"/>
              <a:gd name="connsiteX52" fmla="*/ 2145847 w 2468577"/>
              <a:gd name="connsiteY52" fmla="*/ 2030506 h 2079812"/>
              <a:gd name="connsiteX53" fmla="*/ 2127918 w 2468577"/>
              <a:gd name="connsiteY53" fmla="*/ 2070847 h 2079812"/>
              <a:gd name="connsiteX54" fmla="*/ 2015859 w 2468577"/>
              <a:gd name="connsiteY54" fmla="*/ 2079812 h 2079812"/>
              <a:gd name="connsiteX55" fmla="*/ 2024824 w 2468577"/>
              <a:gd name="connsiteY55" fmla="*/ 2043953 h 2079812"/>
              <a:gd name="connsiteX56" fmla="*/ 1993447 w 2468577"/>
              <a:gd name="connsiteY56" fmla="*/ 2043953 h 2079812"/>
              <a:gd name="connsiteX57" fmla="*/ 1966553 w 2468577"/>
              <a:gd name="connsiteY57" fmla="*/ 1967753 h 2079812"/>
              <a:gd name="connsiteX58" fmla="*/ 1926212 w 2468577"/>
              <a:gd name="connsiteY58" fmla="*/ 1967753 h 2079812"/>
              <a:gd name="connsiteX59" fmla="*/ 1917247 w 2468577"/>
              <a:gd name="connsiteY59" fmla="*/ 1855694 h 2079812"/>
              <a:gd name="connsiteX60" fmla="*/ 1832083 w 2468577"/>
              <a:gd name="connsiteY60" fmla="*/ 1792941 h 2079812"/>
              <a:gd name="connsiteX61" fmla="*/ 1818636 w 2468577"/>
              <a:gd name="connsiteY61" fmla="*/ 1806388 h 2079812"/>
              <a:gd name="connsiteX62" fmla="*/ 1706577 w 2468577"/>
              <a:gd name="connsiteY62" fmla="*/ 1721223 h 2079812"/>
              <a:gd name="connsiteX63" fmla="*/ 1657271 w 2468577"/>
              <a:gd name="connsiteY63" fmla="*/ 1743635 h 2079812"/>
              <a:gd name="connsiteX64" fmla="*/ 1576589 w 2468577"/>
              <a:gd name="connsiteY64" fmla="*/ 1698812 h 2079812"/>
              <a:gd name="connsiteX65" fmla="*/ 1509353 w 2468577"/>
              <a:gd name="connsiteY65" fmla="*/ 1716741 h 2079812"/>
              <a:gd name="connsiteX66" fmla="*/ 1428671 w 2468577"/>
              <a:gd name="connsiteY66" fmla="*/ 1662953 h 2079812"/>
              <a:gd name="connsiteX67" fmla="*/ 1419706 w 2468577"/>
              <a:gd name="connsiteY67" fmla="*/ 1667435 h 2079812"/>
              <a:gd name="connsiteX68" fmla="*/ 1312130 w 2468577"/>
              <a:gd name="connsiteY68" fmla="*/ 1734670 h 2079812"/>
              <a:gd name="connsiteX69" fmla="*/ 1312130 w 2468577"/>
              <a:gd name="connsiteY69" fmla="*/ 1743635 h 2079812"/>
              <a:gd name="connsiteX70" fmla="*/ 1285236 w 2468577"/>
              <a:gd name="connsiteY70" fmla="*/ 1797423 h 2079812"/>
              <a:gd name="connsiteX71" fmla="*/ 1258342 w 2468577"/>
              <a:gd name="connsiteY71" fmla="*/ 1788459 h 2079812"/>
              <a:gd name="connsiteX72" fmla="*/ 1231447 w 2468577"/>
              <a:gd name="connsiteY72" fmla="*/ 1824317 h 2079812"/>
              <a:gd name="connsiteX73" fmla="*/ 1222483 w 2468577"/>
              <a:gd name="connsiteY73" fmla="*/ 1913964 h 2079812"/>
              <a:gd name="connsiteX74" fmla="*/ 1200071 w 2468577"/>
              <a:gd name="connsiteY74" fmla="*/ 1936376 h 2079812"/>
              <a:gd name="connsiteX75" fmla="*/ 1159730 w 2468577"/>
              <a:gd name="connsiteY75" fmla="*/ 1918447 h 2079812"/>
              <a:gd name="connsiteX76" fmla="*/ 1079047 w 2468577"/>
              <a:gd name="connsiteY76" fmla="*/ 1958788 h 2079812"/>
              <a:gd name="connsiteX77" fmla="*/ 1065600 w 2468577"/>
              <a:gd name="connsiteY77" fmla="*/ 1990164 h 2079812"/>
              <a:gd name="connsiteX78" fmla="*/ 1007330 w 2468577"/>
              <a:gd name="connsiteY78" fmla="*/ 2017059 h 2079812"/>
              <a:gd name="connsiteX79" fmla="*/ 993883 w 2468577"/>
              <a:gd name="connsiteY79" fmla="*/ 2021541 h 2079812"/>
              <a:gd name="connsiteX80" fmla="*/ 993883 w 2468577"/>
              <a:gd name="connsiteY80" fmla="*/ 1972235 h 2079812"/>
              <a:gd name="connsiteX81" fmla="*/ 841483 w 2468577"/>
              <a:gd name="connsiteY81" fmla="*/ 1936376 h 2079812"/>
              <a:gd name="connsiteX82" fmla="*/ 819071 w 2468577"/>
              <a:gd name="connsiteY82" fmla="*/ 1878106 h 2079812"/>
              <a:gd name="connsiteX83" fmla="*/ 841483 w 2468577"/>
              <a:gd name="connsiteY83" fmla="*/ 1842247 h 2079812"/>
              <a:gd name="connsiteX84" fmla="*/ 828036 w 2468577"/>
              <a:gd name="connsiteY84" fmla="*/ 1783976 h 2079812"/>
              <a:gd name="connsiteX85" fmla="*/ 774247 w 2468577"/>
              <a:gd name="connsiteY85" fmla="*/ 1783976 h 2079812"/>
              <a:gd name="connsiteX86" fmla="*/ 778730 w 2468577"/>
              <a:gd name="connsiteY86" fmla="*/ 1748117 h 2079812"/>
              <a:gd name="connsiteX87" fmla="*/ 747353 w 2468577"/>
              <a:gd name="connsiteY87" fmla="*/ 1725706 h 2079812"/>
              <a:gd name="connsiteX88" fmla="*/ 742871 w 2468577"/>
              <a:gd name="connsiteY88" fmla="*/ 1707776 h 2079812"/>
              <a:gd name="connsiteX89" fmla="*/ 648742 w 2468577"/>
              <a:gd name="connsiteY89" fmla="*/ 1676400 h 2079812"/>
              <a:gd name="connsiteX90" fmla="*/ 590471 w 2468577"/>
              <a:gd name="connsiteY90" fmla="*/ 1721223 h 2079812"/>
              <a:gd name="connsiteX91" fmla="*/ 514271 w 2468577"/>
              <a:gd name="connsiteY91" fmla="*/ 1734670 h 2079812"/>
              <a:gd name="connsiteX92" fmla="*/ 487377 w 2468577"/>
              <a:gd name="connsiteY92" fmla="*/ 1766047 h 2079812"/>
              <a:gd name="connsiteX93" fmla="*/ 433589 w 2468577"/>
              <a:gd name="connsiteY93" fmla="*/ 1748117 h 2079812"/>
              <a:gd name="connsiteX94" fmla="*/ 294636 w 2468577"/>
              <a:gd name="connsiteY94" fmla="*/ 1752600 h 2079812"/>
              <a:gd name="connsiteX95" fmla="*/ 204989 w 2468577"/>
              <a:gd name="connsiteY95" fmla="*/ 1600200 h 2079812"/>
              <a:gd name="connsiteX96" fmla="*/ 178094 w 2468577"/>
              <a:gd name="connsiteY96" fmla="*/ 1582270 h 2079812"/>
              <a:gd name="connsiteX97" fmla="*/ 146718 w 2468577"/>
              <a:gd name="connsiteY97" fmla="*/ 1600200 h 2079812"/>
              <a:gd name="connsiteX98" fmla="*/ 115342 w 2468577"/>
              <a:gd name="connsiteY98" fmla="*/ 1483659 h 2079812"/>
              <a:gd name="connsiteX99" fmla="*/ 66036 w 2468577"/>
              <a:gd name="connsiteY99" fmla="*/ 1434353 h 2079812"/>
              <a:gd name="connsiteX100" fmla="*/ 7765 w 2468577"/>
              <a:gd name="connsiteY100" fmla="*/ 1411941 h 2079812"/>
              <a:gd name="connsiteX101" fmla="*/ 12247 w 2468577"/>
              <a:gd name="connsiteY101" fmla="*/ 1286435 h 2079812"/>
              <a:gd name="connsiteX102" fmla="*/ 39142 w 2468577"/>
              <a:gd name="connsiteY102" fmla="*/ 1264023 h 2079812"/>
              <a:gd name="connsiteX103" fmla="*/ 70518 w 2468577"/>
              <a:gd name="connsiteY103" fmla="*/ 1219200 h 2079812"/>
              <a:gd name="connsiteX104" fmla="*/ 48106 w 2468577"/>
              <a:gd name="connsiteY104" fmla="*/ 1178859 h 2079812"/>
              <a:gd name="connsiteX105" fmla="*/ 0 w 2468577"/>
              <a:gd name="connsiteY105" fmla="*/ 1102659 h 2079812"/>
              <a:gd name="connsiteX106" fmla="*/ 39142 w 2468577"/>
              <a:gd name="connsiteY106" fmla="*/ 1044388 h 2079812"/>
              <a:gd name="connsiteX107" fmla="*/ 137753 w 2468577"/>
              <a:gd name="connsiteY107" fmla="*/ 896470 h 2079812"/>
              <a:gd name="connsiteX108" fmla="*/ 115342 w 2468577"/>
              <a:gd name="connsiteY108" fmla="*/ 883023 h 2079812"/>
              <a:gd name="connsiteX109" fmla="*/ 115342 w 2468577"/>
              <a:gd name="connsiteY109" fmla="*/ 860612 h 2079812"/>
              <a:gd name="connsiteX110" fmla="*/ 101894 w 2468577"/>
              <a:gd name="connsiteY110" fmla="*/ 824753 h 2079812"/>
              <a:gd name="connsiteX111" fmla="*/ 169130 w 2468577"/>
              <a:gd name="connsiteY111" fmla="*/ 793376 h 2079812"/>
              <a:gd name="connsiteX112" fmla="*/ 128789 w 2468577"/>
              <a:gd name="connsiteY112" fmla="*/ 708212 h 2079812"/>
              <a:gd name="connsiteX113" fmla="*/ 142236 w 2468577"/>
              <a:gd name="connsiteY113" fmla="*/ 654423 h 2079812"/>
              <a:gd name="connsiteX114" fmla="*/ 254294 w 2468577"/>
              <a:gd name="connsiteY114" fmla="*/ 609600 h 2079812"/>
              <a:gd name="connsiteX115" fmla="*/ 299118 w 2468577"/>
              <a:gd name="connsiteY115" fmla="*/ 632012 h 2079812"/>
              <a:gd name="connsiteX116" fmla="*/ 330494 w 2468577"/>
              <a:gd name="connsiteY116" fmla="*/ 591670 h 2079812"/>
              <a:gd name="connsiteX117" fmla="*/ 321530 w 2468577"/>
              <a:gd name="connsiteY117" fmla="*/ 416859 h 2079812"/>
              <a:gd name="connsiteX118" fmla="*/ 366353 w 2468577"/>
              <a:gd name="connsiteY118" fmla="*/ 398929 h 2079812"/>
              <a:gd name="connsiteX119" fmla="*/ 420142 w 2468577"/>
              <a:gd name="connsiteY119" fmla="*/ 313764 h 2079812"/>
              <a:gd name="connsiteX120" fmla="*/ 411177 w 2468577"/>
              <a:gd name="connsiteY120" fmla="*/ 268941 h 2079812"/>
              <a:gd name="connsiteX121" fmla="*/ 411177 w 2468577"/>
              <a:gd name="connsiteY121" fmla="*/ 165847 h 2079812"/>
              <a:gd name="connsiteX0" fmla="*/ 411177 w 2468577"/>
              <a:gd name="connsiteY0" fmla="*/ 165847 h 2079812"/>
              <a:gd name="connsiteX1" fmla="*/ 509789 w 2468577"/>
              <a:gd name="connsiteY1" fmla="*/ 183776 h 2079812"/>
              <a:gd name="connsiteX2" fmla="*/ 621847 w 2468577"/>
              <a:gd name="connsiteY2" fmla="*/ 134470 h 2079812"/>
              <a:gd name="connsiteX3" fmla="*/ 644259 w 2468577"/>
              <a:gd name="connsiteY3" fmla="*/ 49306 h 2079812"/>
              <a:gd name="connsiteX4" fmla="*/ 702530 w 2468577"/>
              <a:gd name="connsiteY4" fmla="*/ 0 h 2079812"/>
              <a:gd name="connsiteX5" fmla="*/ 729424 w 2468577"/>
              <a:gd name="connsiteY5" fmla="*/ 17929 h 2079812"/>
              <a:gd name="connsiteX6" fmla="*/ 702530 w 2468577"/>
              <a:gd name="connsiteY6" fmla="*/ 71717 h 2079812"/>
              <a:gd name="connsiteX7" fmla="*/ 702530 w 2468577"/>
              <a:gd name="connsiteY7" fmla="*/ 94129 h 2079812"/>
              <a:gd name="connsiteX8" fmla="*/ 702530 w 2468577"/>
              <a:gd name="connsiteY8" fmla="*/ 116541 h 2079812"/>
              <a:gd name="connsiteX9" fmla="*/ 707012 w 2468577"/>
              <a:gd name="connsiteY9" fmla="*/ 143435 h 2079812"/>
              <a:gd name="connsiteX10" fmla="*/ 733906 w 2468577"/>
              <a:gd name="connsiteY10" fmla="*/ 215153 h 2079812"/>
              <a:gd name="connsiteX11" fmla="*/ 733906 w 2468577"/>
              <a:gd name="connsiteY11" fmla="*/ 251012 h 2079812"/>
              <a:gd name="connsiteX12" fmla="*/ 720459 w 2468577"/>
              <a:gd name="connsiteY12" fmla="*/ 277906 h 2079812"/>
              <a:gd name="connsiteX13" fmla="*/ 720459 w 2468577"/>
              <a:gd name="connsiteY13" fmla="*/ 286870 h 2079812"/>
              <a:gd name="connsiteX14" fmla="*/ 792177 w 2468577"/>
              <a:gd name="connsiteY14" fmla="*/ 286870 h 2079812"/>
              <a:gd name="connsiteX15" fmla="*/ 877342 w 2468577"/>
              <a:gd name="connsiteY15" fmla="*/ 358588 h 2079812"/>
              <a:gd name="connsiteX16" fmla="*/ 962506 w 2468577"/>
              <a:gd name="connsiteY16" fmla="*/ 381000 h 2079812"/>
              <a:gd name="connsiteX17" fmla="*/ 962506 w 2468577"/>
              <a:gd name="connsiteY17" fmla="*/ 421341 h 2079812"/>
              <a:gd name="connsiteX18" fmla="*/ 1002847 w 2468577"/>
              <a:gd name="connsiteY18" fmla="*/ 421341 h 2079812"/>
              <a:gd name="connsiteX19" fmla="*/ 1047671 w 2468577"/>
              <a:gd name="connsiteY19" fmla="*/ 502023 h 2079812"/>
              <a:gd name="connsiteX20" fmla="*/ 1052153 w 2468577"/>
              <a:gd name="connsiteY20" fmla="*/ 510988 h 2079812"/>
              <a:gd name="connsiteX21" fmla="*/ 1105942 w 2468577"/>
              <a:gd name="connsiteY21" fmla="*/ 510988 h 2079812"/>
              <a:gd name="connsiteX22" fmla="*/ 1132836 w 2468577"/>
              <a:gd name="connsiteY22" fmla="*/ 470647 h 2079812"/>
              <a:gd name="connsiteX23" fmla="*/ 1204553 w 2468577"/>
              <a:gd name="connsiteY23" fmla="*/ 466164 h 2079812"/>
              <a:gd name="connsiteX24" fmla="*/ 1312130 w 2468577"/>
              <a:gd name="connsiteY24" fmla="*/ 528917 h 2079812"/>
              <a:gd name="connsiteX25" fmla="*/ 1334542 w 2468577"/>
              <a:gd name="connsiteY25" fmla="*/ 537882 h 2079812"/>
              <a:gd name="connsiteX26" fmla="*/ 1352471 w 2468577"/>
              <a:gd name="connsiteY26" fmla="*/ 533400 h 2079812"/>
              <a:gd name="connsiteX27" fmla="*/ 1424189 w 2468577"/>
              <a:gd name="connsiteY27" fmla="*/ 484094 h 2079812"/>
              <a:gd name="connsiteX28" fmla="*/ 1554177 w 2468577"/>
              <a:gd name="connsiteY28" fmla="*/ 524435 h 2079812"/>
              <a:gd name="connsiteX29" fmla="*/ 1599000 w 2468577"/>
              <a:gd name="connsiteY29" fmla="*/ 533400 h 2079812"/>
              <a:gd name="connsiteX30" fmla="*/ 1612447 w 2468577"/>
              <a:gd name="connsiteY30" fmla="*/ 596153 h 2079812"/>
              <a:gd name="connsiteX31" fmla="*/ 1720024 w 2468577"/>
              <a:gd name="connsiteY31" fmla="*/ 735106 h 2079812"/>
              <a:gd name="connsiteX32" fmla="*/ 1760365 w 2468577"/>
              <a:gd name="connsiteY32" fmla="*/ 744070 h 2079812"/>
              <a:gd name="connsiteX33" fmla="*/ 1760365 w 2468577"/>
              <a:gd name="connsiteY33" fmla="*/ 744070 h 2079812"/>
              <a:gd name="connsiteX34" fmla="*/ 1766528 w 2468577"/>
              <a:gd name="connsiteY34" fmla="*/ 703317 h 2079812"/>
              <a:gd name="connsiteX35" fmla="*/ 1836565 w 2468577"/>
              <a:gd name="connsiteY35" fmla="*/ 699247 h 2079812"/>
              <a:gd name="connsiteX36" fmla="*/ 1858977 w 2468577"/>
              <a:gd name="connsiteY36" fmla="*/ 753035 h 2079812"/>
              <a:gd name="connsiteX37" fmla="*/ 1894836 w 2468577"/>
              <a:gd name="connsiteY37" fmla="*/ 739588 h 2079812"/>
              <a:gd name="connsiteX38" fmla="*/ 1980000 w 2468577"/>
              <a:gd name="connsiteY38" fmla="*/ 757517 h 2079812"/>
              <a:gd name="connsiteX39" fmla="*/ 2065165 w 2468577"/>
              <a:gd name="connsiteY39" fmla="*/ 703729 h 2079812"/>
              <a:gd name="connsiteX40" fmla="*/ 2168259 w 2468577"/>
              <a:gd name="connsiteY40" fmla="*/ 797859 h 2079812"/>
              <a:gd name="connsiteX41" fmla="*/ 2347553 w 2468577"/>
              <a:gd name="connsiteY41" fmla="*/ 806823 h 2079812"/>
              <a:gd name="connsiteX42" fmla="*/ 2468577 w 2468577"/>
              <a:gd name="connsiteY42" fmla="*/ 847164 h 2079812"/>
              <a:gd name="connsiteX43" fmla="*/ 2401342 w 2468577"/>
              <a:gd name="connsiteY43" fmla="*/ 999564 h 2079812"/>
              <a:gd name="connsiteX44" fmla="*/ 2275836 w 2468577"/>
              <a:gd name="connsiteY44" fmla="*/ 1156447 h 2079812"/>
              <a:gd name="connsiteX45" fmla="*/ 2262389 w 2468577"/>
              <a:gd name="connsiteY45" fmla="*/ 1353670 h 2079812"/>
              <a:gd name="connsiteX46" fmla="*/ 2186189 w 2468577"/>
              <a:gd name="connsiteY46" fmla="*/ 1524000 h 2079812"/>
              <a:gd name="connsiteX47" fmla="*/ 2213083 w 2468577"/>
              <a:gd name="connsiteY47" fmla="*/ 1671917 h 2079812"/>
              <a:gd name="connsiteX48" fmla="*/ 2172742 w 2468577"/>
              <a:gd name="connsiteY48" fmla="*/ 1855694 h 2079812"/>
              <a:gd name="connsiteX49" fmla="*/ 2213083 w 2468577"/>
              <a:gd name="connsiteY49" fmla="*/ 1945341 h 2079812"/>
              <a:gd name="connsiteX50" fmla="*/ 2195153 w 2468577"/>
              <a:gd name="connsiteY50" fmla="*/ 1976717 h 2079812"/>
              <a:gd name="connsiteX51" fmla="*/ 2190671 w 2468577"/>
              <a:gd name="connsiteY51" fmla="*/ 2026023 h 2079812"/>
              <a:gd name="connsiteX52" fmla="*/ 2145847 w 2468577"/>
              <a:gd name="connsiteY52" fmla="*/ 2030506 h 2079812"/>
              <a:gd name="connsiteX53" fmla="*/ 2127918 w 2468577"/>
              <a:gd name="connsiteY53" fmla="*/ 2070847 h 2079812"/>
              <a:gd name="connsiteX54" fmla="*/ 2015859 w 2468577"/>
              <a:gd name="connsiteY54" fmla="*/ 2079812 h 2079812"/>
              <a:gd name="connsiteX55" fmla="*/ 2024824 w 2468577"/>
              <a:gd name="connsiteY55" fmla="*/ 2043953 h 2079812"/>
              <a:gd name="connsiteX56" fmla="*/ 1993447 w 2468577"/>
              <a:gd name="connsiteY56" fmla="*/ 2043953 h 2079812"/>
              <a:gd name="connsiteX57" fmla="*/ 1966553 w 2468577"/>
              <a:gd name="connsiteY57" fmla="*/ 1967753 h 2079812"/>
              <a:gd name="connsiteX58" fmla="*/ 1926212 w 2468577"/>
              <a:gd name="connsiteY58" fmla="*/ 1967753 h 2079812"/>
              <a:gd name="connsiteX59" fmla="*/ 1917247 w 2468577"/>
              <a:gd name="connsiteY59" fmla="*/ 1855694 h 2079812"/>
              <a:gd name="connsiteX60" fmla="*/ 1832083 w 2468577"/>
              <a:gd name="connsiteY60" fmla="*/ 1792941 h 2079812"/>
              <a:gd name="connsiteX61" fmla="*/ 1818636 w 2468577"/>
              <a:gd name="connsiteY61" fmla="*/ 1806388 h 2079812"/>
              <a:gd name="connsiteX62" fmla="*/ 1706577 w 2468577"/>
              <a:gd name="connsiteY62" fmla="*/ 1721223 h 2079812"/>
              <a:gd name="connsiteX63" fmla="*/ 1657271 w 2468577"/>
              <a:gd name="connsiteY63" fmla="*/ 1743635 h 2079812"/>
              <a:gd name="connsiteX64" fmla="*/ 1576589 w 2468577"/>
              <a:gd name="connsiteY64" fmla="*/ 1698812 h 2079812"/>
              <a:gd name="connsiteX65" fmla="*/ 1509353 w 2468577"/>
              <a:gd name="connsiteY65" fmla="*/ 1716741 h 2079812"/>
              <a:gd name="connsiteX66" fmla="*/ 1428671 w 2468577"/>
              <a:gd name="connsiteY66" fmla="*/ 1662953 h 2079812"/>
              <a:gd name="connsiteX67" fmla="*/ 1419706 w 2468577"/>
              <a:gd name="connsiteY67" fmla="*/ 1667435 h 2079812"/>
              <a:gd name="connsiteX68" fmla="*/ 1312130 w 2468577"/>
              <a:gd name="connsiteY68" fmla="*/ 1734670 h 2079812"/>
              <a:gd name="connsiteX69" fmla="*/ 1312130 w 2468577"/>
              <a:gd name="connsiteY69" fmla="*/ 1743635 h 2079812"/>
              <a:gd name="connsiteX70" fmla="*/ 1285236 w 2468577"/>
              <a:gd name="connsiteY70" fmla="*/ 1797423 h 2079812"/>
              <a:gd name="connsiteX71" fmla="*/ 1258342 w 2468577"/>
              <a:gd name="connsiteY71" fmla="*/ 1788459 h 2079812"/>
              <a:gd name="connsiteX72" fmla="*/ 1231447 w 2468577"/>
              <a:gd name="connsiteY72" fmla="*/ 1824317 h 2079812"/>
              <a:gd name="connsiteX73" fmla="*/ 1222483 w 2468577"/>
              <a:gd name="connsiteY73" fmla="*/ 1913964 h 2079812"/>
              <a:gd name="connsiteX74" fmla="*/ 1200071 w 2468577"/>
              <a:gd name="connsiteY74" fmla="*/ 1936376 h 2079812"/>
              <a:gd name="connsiteX75" fmla="*/ 1159730 w 2468577"/>
              <a:gd name="connsiteY75" fmla="*/ 1918447 h 2079812"/>
              <a:gd name="connsiteX76" fmla="*/ 1079047 w 2468577"/>
              <a:gd name="connsiteY76" fmla="*/ 1958788 h 2079812"/>
              <a:gd name="connsiteX77" fmla="*/ 1065600 w 2468577"/>
              <a:gd name="connsiteY77" fmla="*/ 1990164 h 2079812"/>
              <a:gd name="connsiteX78" fmla="*/ 1007330 w 2468577"/>
              <a:gd name="connsiteY78" fmla="*/ 2017059 h 2079812"/>
              <a:gd name="connsiteX79" fmla="*/ 993883 w 2468577"/>
              <a:gd name="connsiteY79" fmla="*/ 2021541 h 2079812"/>
              <a:gd name="connsiteX80" fmla="*/ 993883 w 2468577"/>
              <a:gd name="connsiteY80" fmla="*/ 1972235 h 2079812"/>
              <a:gd name="connsiteX81" fmla="*/ 841483 w 2468577"/>
              <a:gd name="connsiteY81" fmla="*/ 1936376 h 2079812"/>
              <a:gd name="connsiteX82" fmla="*/ 819071 w 2468577"/>
              <a:gd name="connsiteY82" fmla="*/ 1878106 h 2079812"/>
              <a:gd name="connsiteX83" fmla="*/ 841483 w 2468577"/>
              <a:gd name="connsiteY83" fmla="*/ 1842247 h 2079812"/>
              <a:gd name="connsiteX84" fmla="*/ 828036 w 2468577"/>
              <a:gd name="connsiteY84" fmla="*/ 1783976 h 2079812"/>
              <a:gd name="connsiteX85" fmla="*/ 774247 w 2468577"/>
              <a:gd name="connsiteY85" fmla="*/ 1783976 h 2079812"/>
              <a:gd name="connsiteX86" fmla="*/ 778730 w 2468577"/>
              <a:gd name="connsiteY86" fmla="*/ 1748117 h 2079812"/>
              <a:gd name="connsiteX87" fmla="*/ 747353 w 2468577"/>
              <a:gd name="connsiteY87" fmla="*/ 1725706 h 2079812"/>
              <a:gd name="connsiteX88" fmla="*/ 742871 w 2468577"/>
              <a:gd name="connsiteY88" fmla="*/ 1707776 h 2079812"/>
              <a:gd name="connsiteX89" fmla="*/ 648742 w 2468577"/>
              <a:gd name="connsiteY89" fmla="*/ 1676400 h 2079812"/>
              <a:gd name="connsiteX90" fmla="*/ 590471 w 2468577"/>
              <a:gd name="connsiteY90" fmla="*/ 1721223 h 2079812"/>
              <a:gd name="connsiteX91" fmla="*/ 514271 w 2468577"/>
              <a:gd name="connsiteY91" fmla="*/ 1734670 h 2079812"/>
              <a:gd name="connsiteX92" fmla="*/ 487377 w 2468577"/>
              <a:gd name="connsiteY92" fmla="*/ 1766047 h 2079812"/>
              <a:gd name="connsiteX93" fmla="*/ 433589 w 2468577"/>
              <a:gd name="connsiteY93" fmla="*/ 1748117 h 2079812"/>
              <a:gd name="connsiteX94" fmla="*/ 294636 w 2468577"/>
              <a:gd name="connsiteY94" fmla="*/ 1752600 h 2079812"/>
              <a:gd name="connsiteX95" fmla="*/ 204989 w 2468577"/>
              <a:gd name="connsiteY95" fmla="*/ 1600200 h 2079812"/>
              <a:gd name="connsiteX96" fmla="*/ 178094 w 2468577"/>
              <a:gd name="connsiteY96" fmla="*/ 1582270 h 2079812"/>
              <a:gd name="connsiteX97" fmla="*/ 146718 w 2468577"/>
              <a:gd name="connsiteY97" fmla="*/ 1600200 h 2079812"/>
              <a:gd name="connsiteX98" fmla="*/ 115342 w 2468577"/>
              <a:gd name="connsiteY98" fmla="*/ 1483659 h 2079812"/>
              <a:gd name="connsiteX99" fmla="*/ 66036 w 2468577"/>
              <a:gd name="connsiteY99" fmla="*/ 1434353 h 2079812"/>
              <a:gd name="connsiteX100" fmla="*/ 7765 w 2468577"/>
              <a:gd name="connsiteY100" fmla="*/ 1411941 h 2079812"/>
              <a:gd name="connsiteX101" fmla="*/ 12247 w 2468577"/>
              <a:gd name="connsiteY101" fmla="*/ 1286435 h 2079812"/>
              <a:gd name="connsiteX102" fmla="*/ 39142 w 2468577"/>
              <a:gd name="connsiteY102" fmla="*/ 1264023 h 2079812"/>
              <a:gd name="connsiteX103" fmla="*/ 70518 w 2468577"/>
              <a:gd name="connsiteY103" fmla="*/ 1219200 h 2079812"/>
              <a:gd name="connsiteX104" fmla="*/ 48106 w 2468577"/>
              <a:gd name="connsiteY104" fmla="*/ 1178859 h 2079812"/>
              <a:gd name="connsiteX105" fmla="*/ 0 w 2468577"/>
              <a:gd name="connsiteY105" fmla="*/ 1102659 h 2079812"/>
              <a:gd name="connsiteX106" fmla="*/ 39142 w 2468577"/>
              <a:gd name="connsiteY106" fmla="*/ 1044388 h 2079812"/>
              <a:gd name="connsiteX107" fmla="*/ 137753 w 2468577"/>
              <a:gd name="connsiteY107" fmla="*/ 896470 h 2079812"/>
              <a:gd name="connsiteX108" fmla="*/ 115342 w 2468577"/>
              <a:gd name="connsiteY108" fmla="*/ 883023 h 2079812"/>
              <a:gd name="connsiteX109" fmla="*/ 115342 w 2468577"/>
              <a:gd name="connsiteY109" fmla="*/ 860612 h 2079812"/>
              <a:gd name="connsiteX110" fmla="*/ 101894 w 2468577"/>
              <a:gd name="connsiteY110" fmla="*/ 824753 h 2079812"/>
              <a:gd name="connsiteX111" fmla="*/ 169130 w 2468577"/>
              <a:gd name="connsiteY111" fmla="*/ 793376 h 2079812"/>
              <a:gd name="connsiteX112" fmla="*/ 128789 w 2468577"/>
              <a:gd name="connsiteY112" fmla="*/ 708212 h 2079812"/>
              <a:gd name="connsiteX113" fmla="*/ 142236 w 2468577"/>
              <a:gd name="connsiteY113" fmla="*/ 654423 h 2079812"/>
              <a:gd name="connsiteX114" fmla="*/ 254294 w 2468577"/>
              <a:gd name="connsiteY114" fmla="*/ 609600 h 2079812"/>
              <a:gd name="connsiteX115" fmla="*/ 299118 w 2468577"/>
              <a:gd name="connsiteY115" fmla="*/ 632012 h 2079812"/>
              <a:gd name="connsiteX116" fmla="*/ 330494 w 2468577"/>
              <a:gd name="connsiteY116" fmla="*/ 591670 h 2079812"/>
              <a:gd name="connsiteX117" fmla="*/ 321530 w 2468577"/>
              <a:gd name="connsiteY117" fmla="*/ 416859 h 2079812"/>
              <a:gd name="connsiteX118" fmla="*/ 366353 w 2468577"/>
              <a:gd name="connsiteY118" fmla="*/ 398929 h 2079812"/>
              <a:gd name="connsiteX119" fmla="*/ 420142 w 2468577"/>
              <a:gd name="connsiteY119" fmla="*/ 313764 h 2079812"/>
              <a:gd name="connsiteX120" fmla="*/ 411177 w 2468577"/>
              <a:gd name="connsiteY120" fmla="*/ 268941 h 2079812"/>
              <a:gd name="connsiteX121" fmla="*/ 411177 w 2468577"/>
              <a:gd name="connsiteY121" fmla="*/ 165847 h 2079812"/>
              <a:gd name="connsiteX0" fmla="*/ 411177 w 2468577"/>
              <a:gd name="connsiteY0" fmla="*/ 165847 h 2079812"/>
              <a:gd name="connsiteX1" fmla="*/ 509789 w 2468577"/>
              <a:gd name="connsiteY1" fmla="*/ 183776 h 2079812"/>
              <a:gd name="connsiteX2" fmla="*/ 621847 w 2468577"/>
              <a:gd name="connsiteY2" fmla="*/ 134470 h 2079812"/>
              <a:gd name="connsiteX3" fmla="*/ 644259 w 2468577"/>
              <a:gd name="connsiteY3" fmla="*/ 49306 h 2079812"/>
              <a:gd name="connsiteX4" fmla="*/ 702530 w 2468577"/>
              <a:gd name="connsiteY4" fmla="*/ 0 h 2079812"/>
              <a:gd name="connsiteX5" fmla="*/ 729424 w 2468577"/>
              <a:gd name="connsiteY5" fmla="*/ 17929 h 2079812"/>
              <a:gd name="connsiteX6" fmla="*/ 702530 w 2468577"/>
              <a:gd name="connsiteY6" fmla="*/ 71717 h 2079812"/>
              <a:gd name="connsiteX7" fmla="*/ 702530 w 2468577"/>
              <a:gd name="connsiteY7" fmla="*/ 94129 h 2079812"/>
              <a:gd name="connsiteX8" fmla="*/ 702530 w 2468577"/>
              <a:gd name="connsiteY8" fmla="*/ 116541 h 2079812"/>
              <a:gd name="connsiteX9" fmla="*/ 707012 w 2468577"/>
              <a:gd name="connsiteY9" fmla="*/ 143435 h 2079812"/>
              <a:gd name="connsiteX10" fmla="*/ 733906 w 2468577"/>
              <a:gd name="connsiteY10" fmla="*/ 215153 h 2079812"/>
              <a:gd name="connsiteX11" fmla="*/ 733906 w 2468577"/>
              <a:gd name="connsiteY11" fmla="*/ 251012 h 2079812"/>
              <a:gd name="connsiteX12" fmla="*/ 720459 w 2468577"/>
              <a:gd name="connsiteY12" fmla="*/ 277906 h 2079812"/>
              <a:gd name="connsiteX13" fmla="*/ 720459 w 2468577"/>
              <a:gd name="connsiteY13" fmla="*/ 286870 h 2079812"/>
              <a:gd name="connsiteX14" fmla="*/ 792177 w 2468577"/>
              <a:gd name="connsiteY14" fmla="*/ 286870 h 2079812"/>
              <a:gd name="connsiteX15" fmla="*/ 877342 w 2468577"/>
              <a:gd name="connsiteY15" fmla="*/ 358588 h 2079812"/>
              <a:gd name="connsiteX16" fmla="*/ 962506 w 2468577"/>
              <a:gd name="connsiteY16" fmla="*/ 381000 h 2079812"/>
              <a:gd name="connsiteX17" fmla="*/ 962506 w 2468577"/>
              <a:gd name="connsiteY17" fmla="*/ 421341 h 2079812"/>
              <a:gd name="connsiteX18" fmla="*/ 1002847 w 2468577"/>
              <a:gd name="connsiteY18" fmla="*/ 421341 h 2079812"/>
              <a:gd name="connsiteX19" fmla="*/ 1047671 w 2468577"/>
              <a:gd name="connsiteY19" fmla="*/ 502023 h 2079812"/>
              <a:gd name="connsiteX20" fmla="*/ 1052153 w 2468577"/>
              <a:gd name="connsiteY20" fmla="*/ 510988 h 2079812"/>
              <a:gd name="connsiteX21" fmla="*/ 1105942 w 2468577"/>
              <a:gd name="connsiteY21" fmla="*/ 510988 h 2079812"/>
              <a:gd name="connsiteX22" fmla="*/ 1132836 w 2468577"/>
              <a:gd name="connsiteY22" fmla="*/ 470647 h 2079812"/>
              <a:gd name="connsiteX23" fmla="*/ 1204553 w 2468577"/>
              <a:gd name="connsiteY23" fmla="*/ 466164 h 2079812"/>
              <a:gd name="connsiteX24" fmla="*/ 1312130 w 2468577"/>
              <a:gd name="connsiteY24" fmla="*/ 528917 h 2079812"/>
              <a:gd name="connsiteX25" fmla="*/ 1334542 w 2468577"/>
              <a:gd name="connsiteY25" fmla="*/ 537882 h 2079812"/>
              <a:gd name="connsiteX26" fmla="*/ 1352471 w 2468577"/>
              <a:gd name="connsiteY26" fmla="*/ 533400 h 2079812"/>
              <a:gd name="connsiteX27" fmla="*/ 1424189 w 2468577"/>
              <a:gd name="connsiteY27" fmla="*/ 484094 h 2079812"/>
              <a:gd name="connsiteX28" fmla="*/ 1554177 w 2468577"/>
              <a:gd name="connsiteY28" fmla="*/ 524435 h 2079812"/>
              <a:gd name="connsiteX29" fmla="*/ 1599000 w 2468577"/>
              <a:gd name="connsiteY29" fmla="*/ 533400 h 2079812"/>
              <a:gd name="connsiteX30" fmla="*/ 1612447 w 2468577"/>
              <a:gd name="connsiteY30" fmla="*/ 596153 h 2079812"/>
              <a:gd name="connsiteX31" fmla="*/ 1720024 w 2468577"/>
              <a:gd name="connsiteY31" fmla="*/ 735106 h 2079812"/>
              <a:gd name="connsiteX32" fmla="*/ 1760365 w 2468577"/>
              <a:gd name="connsiteY32" fmla="*/ 744070 h 2079812"/>
              <a:gd name="connsiteX33" fmla="*/ 1760365 w 2468577"/>
              <a:gd name="connsiteY33" fmla="*/ 744070 h 2079812"/>
              <a:gd name="connsiteX34" fmla="*/ 1766528 w 2468577"/>
              <a:gd name="connsiteY34" fmla="*/ 703317 h 2079812"/>
              <a:gd name="connsiteX35" fmla="*/ 1836565 w 2468577"/>
              <a:gd name="connsiteY35" fmla="*/ 699247 h 2079812"/>
              <a:gd name="connsiteX36" fmla="*/ 1858977 w 2468577"/>
              <a:gd name="connsiteY36" fmla="*/ 753035 h 2079812"/>
              <a:gd name="connsiteX37" fmla="*/ 1894836 w 2468577"/>
              <a:gd name="connsiteY37" fmla="*/ 739588 h 2079812"/>
              <a:gd name="connsiteX38" fmla="*/ 1980000 w 2468577"/>
              <a:gd name="connsiteY38" fmla="*/ 757517 h 2079812"/>
              <a:gd name="connsiteX39" fmla="*/ 2065165 w 2468577"/>
              <a:gd name="connsiteY39" fmla="*/ 703729 h 2079812"/>
              <a:gd name="connsiteX40" fmla="*/ 2168259 w 2468577"/>
              <a:gd name="connsiteY40" fmla="*/ 797859 h 2079812"/>
              <a:gd name="connsiteX41" fmla="*/ 2347553 w 2468577"/>
              <a:gd name="connsiteY41" fmla="*/ 806823 h 2079812"/>
              <a:gd name="connsiteX42" fmla="*/ 2468577 w 2468577"/>
              <a:gd name="connsiteY42" fmla="*/ 847164 h 2079812"/>
              <a:gd name="connsiteX43" fmla="*/ 2401342 w 2468577"/>
              <a:gd name="connsiteY43" fmla="*/ 999564 h 2079812"/>
              <a:gd name="connsiteX44" fmla="*/ 2275836 w 2468577"/>
              <a:gd name="connsiteY44" fmla="*/ 1156447 h 2079812"/>
              <a:gd name="connsiteX45" fmla="*/ 2262389 w 2468577"/>
              <a:gd name="connsiteY45" fmla="*/ 1353670 h 2079812"/>
              <a:gd name="connsiteX46" fmla="*/ 2186189 w 2468577"/>
              <a:gd name="connsiteY46" fmla="*/ 1524000 h 2079812"/>
              <a:gd name="connsiteX47" fmla="*/ 2213083 w 2468577"/>
              <a:gd name="connsiteY47" fmla="*/ 1671917 h 2079812"/>
              <a:gd name="connsiteX48" fmla="*/ 2172742 w 2468577"/>
              <a:gd name="connsiteY48" fmla="*/ 1855694 h 2079812"/>
              <a:gd name="connsiteX49" fmla="*/ 2213083 w 2468577"/>
              <a:gd name="connsiteY49" fmla="*/ 1945341 h 2079812"/>
              <a:gd name="connsiteX50" fmla="*/ 2195153 w 2468577"/>
              <a:gd name="connsiteY50" fmla="*/ 1976717 h 2079812"/>
              <a:gd name="connsiteX51" fmla="*/ 2190671 w 2468577"/>
              <a:gd name="connsiteY51" fmla="*/ 2026023 h 2079812"/>
              <a:gd name="connsiteX52" fmla="*/ 2145847 w 2468577"/>
              <a:gd name="connsiteY52" fmla="*/ 2030506 h 2079812"/>
              <a:gd name="connsiteX53" fmla="*/ 2127918 w 2468577"/>
              <a:gd name="connsiteY53" fmla="*/ 2070847 h 2079812"/>
              <a:gd name="connsiteX54" fmla="*/ 2015859 w 2468577"/>
              <a:gd name="connsiteY54" fmla="*/ 2079812 h 2079812"/>
              <a:gd name="connsiteX55" fmla="*/ 2024824 w 2468577"/>
              <a:gd name="connsiteY55" fmla="*/ 2043953 h 2079812"/>
              <a:gd name="connsiteX56" fmla="*/ 1993447 w 2468577"/>
              <a:gd name="connsiteY56" fmla="*/ 2043953 h 2079812"/>
              <a:gd name="connsiteX57" fmla="*/ 1966553 w 2468577"/>
              <a:gd name="connsiteY57" fmla="*/ 1967753 h 2079812"/>
              <a:gd name="connsiteX58" fmla="*/ 1926212 w 2468577"/>
              <a:gd name="connsiteY58" fmla="*/ 1967753 h 2079812"/>
              <a:gd name="connsiteX59" fmla="*/ 1917247 w 2468577"/>
              <a:gd name="connsiteY59" fmla="*/ 1855694 h 2079812"/>
              <a:gd name="connsiteX60" fmla="*/ 1832083 w 2468577"/>
              <a:gd name="connsiteY60" fmla="*/ 1792941 h 2079812"/>
              <a:gd name="connsiteX61" fmla="*/ 1818636 w 2468577"/>
              <a:gd name="connsiteY61" fmla="*/ 1806388 h 2079812"/>
              <a:gd name="connsiteX62" fmla="*/ 1706577 w 2468577"/>
              <a:gd name="connsiteY62" fmla="*/ 1721223 h 2079812"/>
              <a:gd name="connsiteX63" fmla="*/ 1657271 w 2468577"/>
              <a:gd name="connsiteY63" fmla="*/ 1743635 h 2079812"/>
              <a:gd name="connsiteX64" fmla="*/ 1576589 w 2468577"/>
              <a:gd name="connsiteY64" fmla="*/ 1698812 h 2079812"/>
              <a:gd name="connsiteX65" fmla="*/ 1509353 w 2468577"/>
              <a:gd name="connsiteY65" fmla="*/ 1716741 h 2079812"/>
              <a:gd name="connsiteX66" fmla="*/ 1428671 w 2468577"/>
              <a:gd name="connsiteY66" fmla="*/ 1662953 h 2079812"/>
              <a:gd name="connsiteX67" fmla="*/ 1419706 w 2468577"/>
              <a:gd name="connsiteY67" fmla="*/ 1667435 h 2079812"/>
              <a:gd name="connsiteX68" fmla="*/ 1312130 w 2468577"/>
              <a:gd name="connsiteY68" fmla="*/ 1734670 h 2079812"/>
              <a:gd name="connsiteX69" fmla="*/ 1312130 w 2468577"/>
              <a:gd name="connsiteY69" fmla="*/ 1743635 h 2079812"/>
              <a:gd name="connsiteX70" fmla="*/ 1285236 w 2468577"/>
              <a:gd name="connsiteY70" fmla="*/ 1797423 h 2079812"/>
              <a:gd name="connsiteX71" fmla="*/ 1258342 w 2468577"/>
              <a:gd name="connsiteY71" fmla="*/ 1788459 h 2079812"/>
              <a:gd name="connsiteX72" fmla="*/ 1231447 w 2468577"/>
              <a:gd name="connsiteY72" fmla="*/ 1824317 h 2079812"/>
              <a:gd name="connsiteX73" fmla="*/ 1222483 w 2468577"/>
              <a:gd name="connsiteY73" fmla="*/ 1913964 h 2079812"/>
              <a:gd name="connsiteX74" fmla="*/ 1200071 w 2468577"/>
              <a:gd name="connsiteY74" fmla="*/ 1936376 h 2079812"/>
              <a:gd name="connsiteX75" fmla="*/ 1159730 w 2468577"/>
              <a:gd name="connsiteY75" fmla="*/ 1918447 h 2079812"/>
              <a:gd name="connsiteX76" fmla="*/ 1079047 w 2468577"/>
              <a:gd name="connsiteY76" fmla="*/ 1958788 h 2079812"/>
              <a:gd name="connsiteX77" fmla="*/ 1065600 w 2468577"/>
              <a:gd name="connsiteY77" fmla="*/ 1990164 h 2079812"/>
              <a:gd name="connsiteX78" fmla="*/ 1007330 w 2468577"/>
              <a:gd name="connsiteY78" fmla="*/ 2017059 h 2079812"/>
              <a:gd name="connsiteX79" fmla="*/ 993883 w 2468577"/>
              <a:gd name="connsiteY79" fmla="*/ 2021541 h 2079812"/>
              <a:gd name="connsiteX80" fmla="*/ 993883 w 2468577"/>
              <a:gd name="connsiteY80" fmla="*/ 1972235 h 2079812"/>
              <a:gd name="connsiteX81" fmla="*/ 841483 w 2468577"/>
              <a:gd name="connsiteY81" fmla="*/ 1936376 h 2079812"/>
              <a:gd name="connsiteX82" fmla="*/ 819071 w 2468577"/>
              <a:gd name="connsiteY82" fmla="*/ 1878106 h 2079812"/>
              <a:gd name="connsiteX83" fmla="*/ 841483 w 2468577"/>
              <a:gd name="connsiteY83" fmla="*/ 1842247 h 2079812"/>
              <a:gd name="connsiteX84" fmla="*/ 828036 w 2468577"/>
              <a:gd name="connsiteY84" fmla="*/ 1783976 h 2079812"/>
              <a:gd name="connsiteX85" fmla="*/ 774247 w 2468577"/>
              <a:gd name="connsiteY85" fmla="*/ 1783976 h 2079812"/>
              <a:gd name="connsiteX86" fmla="*/ 778730 w 2468577"/>
              <a:gd name="connsiteY86" fmla="*/ 1748117 h 2079812"/>
              <a:gd name="connsiteX87" fmla="*/ 747353 w 2468577"/>
              <a:gd name="connsiteY87" fmla="*/ 1725706 h 2079812"/>
              <a:gd name="connsiteX88" fmla="*/ 742871 w 2468577"/>
              <a:gd name="connsiteY88" fmla="*/ 1707776 h 2079812"/>
              <a:gd name="connsiteX89" fmla="*/ 648742 w 2468577"/>
              <a:gd name="connsiteY89" fmla="*/ 1676400 h 2079812"/>
              <a:gd name="connsiteX90" fmla="*/ 590471 w 2468577"/>
              <a:gd name="connsiteY90" fmla="*/ 1721223 h 2079812"/>
              <a:gd name="connsiteX91" fmla="*/ 514271 w 2468577"/>
              <a:gd name="connsiteY91" fmla="*/ 1734670 h 2079812"/>
              <a:gd name="connsiteX92" fmla="*/ 487377 w 2468577"/>
              <a:gd name="connsiteY92" fmla="*/ 1766047 h 2079812"/>
              <a:gd name="connsiteX93" fmla="*/ 433589 w 2468577"/>
              <a:gd name="connsiteY93" fmla="*/ 1748117 h 2079812"/>
              <a:gd name="connsiteX94" fmla="*/ 294636 w 2468577"/>
              <a:gd name="connsiteY94" fmla="*/ 1752600 h 2079812"/>
              <a:gd name="connsiteX95" fmla="*/ 204989 w 2468577"/>
              <a:gd name="connsiteY95" fmla="*/ 1600200 h 2079812"/>
              <a:gd name="connsiteX96" fmla="*/ 178094 w 2468577"/>
              <a:gd name="connsiteY96" fmla="*/ 1582270 h 2079812"/>
              <a:gd name="connsiteX97" fmla="*/ 146718 w 2468577"/>
              <a:gd name="connsiteY97" fmla="*/ 1600200 h 2079812"/>
              <a:gd name="connsiteX98" fmla="*/ 115342 w 2468577"/>
              <a:gd name="connsiteY98" fmla="*/ 1483659 h 2079812"/>
              <a:gd name="connsiteX99" fmla="*/ 66036 w 2468577"/>
              <a:gd name="connsiteY99" fmla="*/ 1434353 h 2079812"/>
              <a:gd name="connsiteX100" fmla="*/ 7765 w 2468577"/>
              <a:gd name="connsiteY100" fmla="*/ 1411941 h 2079812"/>
              <a:gd name="connsiteX101" fmla="*/ 12247 w 2468577"/>
              <a:gd name="connsiteY101" fmla="*/ 1286435 h 2079812"/>
              <a:gd name="connsiteX102" fmla="*/ 39142 w 2468577"/>
              <a:gd name="connsiteY102" fmla="*/ 1264023 h 2079812"/>
              <a:gd name="connsiteX103" fmla="*/ 70518 w 2468577"/>
              <a:gd name="connsiteY103" fmla="*/ 1219200 h 2079812"/>
              <a:gd name="connsiteX104" fmla="*/ 40477 w 2468577"/>
              <a:gd name="connsiteY104" fmla="*/ 1190348 h 2079812"/>
              <a:gd name="connsiteX105" fmla="*/ 0 w 2468577"/>
              <a:gd name="connsiteY105" fmla="*/ 1102659 h 2079812"/>
              <a:gd name="connsiteX106" fmla="*/ 39142 w 2468577"/>
              <a:gd name="connsiteY106" fmla="*/ 1044388 h 2079812"/>
              <a:gd name="connsiteX107" fmla="*/ 137753 w 2468577"/>
              <a:gd name="connsiteY107" fmla="*/ 896470 h 2079812"/>
              <a:gd name="connsiteX108" fmla="*/ 115342 w 2468577"/>
              <a:gd name="connsiteY108" fmla="*/ 883023 h 2079812"/>
              <a:gd name="connsiteX109" fmla="*/ 115342 w 2468577"/>
              <a:gd name="connsiteY109" fmla="*/ 860612 h 2079812"/>
              <a:gd name="connsiteX110" fmla="*/ 101894 w 2468577"/>
              <a:gd name="connsiteY110" fmla="*/ 824753 h 2079812"/>
              <a:gd name="connsiteX111" fmla="*/ 169130 w 2468577"/>
              <a:gd name="connsiteY111" fmla="*/ 793376 h 2079812"/>
              <a:gd name="connsiteX112" fmla="*/ 128789 w 2468577"/>
              <a:gd name="connsiteY112" fmla="*/ 708212 h 2079812"/>
              <a:gd name="connsiteX113" fmla="*/ 142236 w 2468577"/>
              <a:gd name="connsiteY113" fmla="*/ 654423 h 2079812"/>
              <a:gd name="connsiteX114" fmla="*/ 254294 w 2468577"/>
              <a:gd name="connsiteY114" fmla="*/ 609600 h 2079812"/>
              <a:gd name="connsiteX115" fmla="*/ 299118 w 2468577"/>
              <a:gd name="connsiteY115" fmla="*/ 632012 h 2079812"/>
              <a:gd name="connsiteX116" fmla="*/ 330494 w 2468577"/>
              <a:gd name="connsiteY116" fmla="*/ 591670 h 2079812"/>
              <a:gd name="connsiteX117" fmla="*/ 321530 w 2468577"/>
              <a:gd name="connsiteY117" fmla="*/ 416859 h 2079812"/>
              <a:gd name="connsiteX118" fmla="*/ 366353 w 2468577"/>
              <a:gd name="connsiteY118" fmla="*/ 398929 h 2079812"/>
              <a:gd name="connsiteX119" fmla="*/ 420142 w 2468577"/>
              <a:gd name="connsiteY119" fmla="*/ 313764 h 2079812"/>
              <a:gd name="connsiteX120" fmla="*/ 411177 w 2468577"/>
              <a:gd name="connsiteY120" fmla="*/ 268941 h 2079812"/>
              <a:gd name="connsiteX121" fmla="*/ 411177 w 2468577"/>
              <a:gd name="connsiteY121" fmla="*/ 165847 h 2079812"/>
              <a:gd name="connsiteX0" fmla="*/ 411177 w 2468577"/>
              <a:gd name="connsiteY0" fmla="*/ 165847 h 2079812"/>
              <a:gd name="connsiteX1" fmla="*/ 509789 w 2468577"/>
              <a:gd name="connsiteY1" fmla="*/ 183776 h 2079812"/>
              <a:gd name="connsiteX2" fmla="*/ 621847 w 2468577"/>
              <a:gd name="connsiteY2" fmla="*/ 134470 h 2079812"/>
              <a:gd name="connsiteX3" fmla="*/ 644259 w 2468577"/>
              <a:gd name="connsiteY3" fmla="*/ 49306 h 2079812"/>
              <a:gd name="connsiteX4" fmla="*/ 702530 w 2468577"/>
              <a:gd name="connsiteY4" fmla="*/ 0 h 2079812"/>
              <a:gd name="connsiteX5" fmla="*/ 729424 w 2468577"/>
              <a:gd name="connsiteY5" fmla="*/ 17929 h 2079812"/>
              <a:gd name="connsiteX6" fmla="*/ 702530 w 2468577"/>
              <a:gd name="connsiteY6" fmla="*/ 71717 h 2079812"/>
              <a:gd name="connsiteX7" fmla="*/ 702530 w 2468577"/>
              <a:gd name="connsiteY7" fmla="*/ 94129 h 2079812"/>
              <a:gd name="connsiteX8" fmla="*/ 702530 w 2468577"/>
              <a:gd name="connsiteY8" fmla="*/ 116541 h 2079812"/>
              <a:gd name="connsiteX9" fmla="*/ 707012 w 2468577"/>
              <a:gd name="connsiteY9" fmla="*/ 143435 h 2079812"/>
              <a:gd name="connsiteX10" fmla="*/ 733906 w 2468577"/>
              <a:gd name="connsiteY10" fmla="*/ 215153 h 2079812"/>
              <a:gd name="connsiteX11" fmla="*/ 733906 w 2468577"/>
              <a:gd name="connsiteY11" fmla="*/ 251012 h 2079812"/>
              <a:gd name="connsiteX12" fmla="*/ 720459 w 2468577"/>
              <a:gd name="connsiteY12" fmla="*/ 277906 h 2079812"/>
              <a:gd name="connsiteX13" fmla="*/ 720459 w 2468577"/>
              <a:gd name="connsiteY13" fmla="*/ 286870 h 2079812"/>
              <a:gd name="connsiteX14" fmla="*/ 792177 w 2468577"/>
              <a:gd name="connsiteY14" fmla="*/ 286870 h 2079812"/>
              <a:gd name="connsiteX15" fmla="*/ 877342 w 2468577"/>
              <a:gd name="connsiteY15" fmla="*/ 358588 h 2079812"/>
              <a:gd name="connsiteX16" fmla="*/ 962506 w 2468577"/>
              <a:gd name="connsiteY16" fmla="*/ 381000 h 2079812"/>
              <a:gd name="connsiteX17" fmla="*/ 962506 w 2468577"/>
              <a:gd name="connsiteY17" fmla="*/ 421341 h 2079812"/>
              <a:gd name="connsiteX18" fmla="*/ 1002847 w 2468577"/>
              <a:gd name="connsiteY18" fmla="*/ 421341 h 2079812"/>
              <a:gd name="connsiteX19" fmla="*/ 1047671 w 2468577"/>
              <a:gd name="connsiteY19" fmla="*/ 502023 h 2079812"/>
              <a:gd name="connsiteX20" fmla="*/ 1052153 w 2468577"/>
              <a:gd name="connsiteY20" fmla="*/ 510988 h 2079812"/>
              <a:gd name="connsiteX21" fmla="*/ 1105942 w 2468577"/>
              <a:gd name="connsiteY21" fmla="*/ 510988 h 2079812"/>
              <a:gd name="connsiteX22" fmla="*/ 1132836 w 2468577"/>
              <a:gd name="connsiteY22" fmla="*/ 470647 h 2079812"/>
              <a:gd name="connsiteX23" fmla="*/ 1204553 w 2468577"/>
              <a:gd name="connsiteY23" fmla="*/ 466164 h 2079812"/>
              <a:gd name="connsiteX24" fmla="*/ 1312130 w 2468577"/>
              <a:gd name="connsiteY24" fmla="*/ 528917 h 2079812"/>
              <a:gd name="connsiteX25" fmla="*/ 1334542 w 2468577"/>
              <a:gd name="connsiteY25" fmla="*/ 537882 h 2079812"/>
              <a:gd name="connsiteX26" fmla="*/ 1352471 w 2468577"/>
              <a:gd name="connsiteY26" fmla="*/ 533400 h 2079812"/>
              <a:gd name="connsiteX27" fmla="*/ 1424189 w 2468577"/>
              <a:gd name="connsiteY27" fmla="*/ 484094 h 2079812"/>
              <a:gd name="connsiteX28" fmla="*/ 1554177 w 2468577"/>
              <a:gd name="connsiteY28" fmla="*/ 524435 h 2079812"/>
              <a:gd name="connsiteX29" fmla="*/ 1599000 w 2468577"/>
              <a:gd name="connsiteY29" fmla="*/ 533400 h 2079812"/>
              <a:gd name="connsiteX30" fmla="*/ 1612447 w 2468577"/>
              <a:gd name="connsiteY30" fmla="*/ 596153 h 2079812"/>
              <a:gd name="connsiteX31" fmla="*/ 1720024 w 2468577"/>
              <a:gd name="connsiteY31" fmla="*/ 735106 h 2079812"/>
              <a:gd name="connsiteX32" fmla="*/ 1760365 w 2468577"/>
              <a:gd name="connsiteY32" fmla="*/ 744070 h 2079812"/>
              <a:gd name="connsiteX33" fmla="*/ 1760365 w 2468577"/>
              <a:gd name="connsiteY33" fmla="*/ 744070 h 2079812"/>
              <a:gd name="connsiteX34" fmla="*/ 1766528 w 2468577"/>
              <a:gd name="connsiteY34" fmla="*/ 703317 h 2079812"/>
              <a:gd name="connsiteX35" fmla="*/ 1836565 w 2468577"/>
              <a:gd name="connsiteY35" fmla="*/ 699247 h 2079812"/>
              <a:gd name="connsiteX36" fmla="*/ 1858977 w 2468577"/>
              <a:gd name="connsiteY36" fmla="*/ 753035 h 2079812"/>
              <a:gd name="connsiteX37" fmla="*/ 1894836 w 2468577"/>
              <a:gd name="connsiteY37" fmla="*/ 739588 h 2079812"/>
              <a:gd name="connsiteX38" fmla="*/ 1980000 w 2468577"/>
              <a:gd name="connsiteY38" fmla="*/ 757517 h 2079812"/>
              <a:gd name="connsiteX39" fmla="*/ 2065165 w 2468577"/>
              <a:gd name="connsiteY39" fmla="*/ 703729 h 2079812"/>
              <a:gd name="connsiteX40" fmla="*/ 2168259 w 2468577"/>
              <a:gd name="connsiteY40" fmla="*/ 797859 h 2079812"/>
              <a:gd name="connsiteX41" fmla="*/ 2347553 w 2468577"/>
              <a:gd name="connsiteY41" fmla="*/ 806823 h 2079812"/>
              <a:gd name="connsiteX42" fmla="*/ 2468577 w 2468577"/>
              <a:gd name="connsiteY42" fmla="*/ 847164 h 2079812"/>
              <a:gd name="connsiteX43" fmla="*/ 2401342 w 2468577"/>
              <a:gd name="connsiteY43" fmla="*/ 999564 h 2079812"/>
              <a:gd name="connsiteX44" fmla="*/ 2275836 w 2468577"/>
              <a:gd name="connsiteY44" fmla="*/ 1156447 h 2079812"/>
              <a:gd name="connsiteX45" fmla="*/ 2262389 w 2468577"/>
              <a:gd name="connsiteY45" fmla="*/ 1353670 h 2079812"/>
              <a:gd name="connsiteX46" fmla="*/ 2186189 w 2468577"/>
              <a:gd name="connsiteY46" fmla="*/ 1524000 h 2079812"/>
              <a:gd name="connsiteX47" fmla="*/ 2213083 w 2468577"/>
              <a:gd name="connsiteY47" fmla="*/ 1671917 h 2079812"/>
              <a:gd name="connsiteX48" fmla="*/ 2172742 w 2468577"/>
              <a:gd name="connsiteY48" fmla="*/ 1855694 h 2079812"/>
              <a:gd name="connsiteX49" fmla="*/ 2213083 w 2468577"/>
              <a:gd name="connsiteY49" fmla="*/ 1945341 h 2079812"/>
              <a:gd name="connsiteX50" fmla="*/ 2195153 w 2468577"/>
              <a:gd name="connsiteY50" fmla="*/ 1976717 h 2079812"/>
              <a:gd name="connsiteX51" fmla="*/ 2190671 w 2468577"/>
              <a:gd name="connsiteY51" fmla="*/ 2026023 h 2079812"/>
              <a:gd name="connsiteX52" fmla="*/ 2145847 w 2468577"/>
              <a:gd name="connsiteY52" fmla="*/ 2030506 h 2079812"/>
              <a:gd name="connsiteX53" fmla="*/ 2127918 w 2468577"/>
              <a:gd name="connsiteY53" fmla="*/ 2070847 h 2079812"/>
              <a:gd name="connsiteX54" fmla="*/ 2015859 w 2468577"/>
              <a:gd name="connsiteY54" fmla="*/ 2079812 h 2079812"/>
              <a:gd name="connsiteX55" fmla="*/ 2024824 w 2468577"/>
              <a:gd name="connsiteY55" fmla="*/ 2043953 h 2079812"/>
              <a:gd name="connsiteX56" fmla="*/ 1993447 w 2468577"/>
              <a:gd name="connsiteY56" fmla="*/ 2043953 h 2079812"/>
              <a:gd name="connsiteX57" fmla="*/ 1966553 w 2468577"/>
              <a:gd name="connsiteY57" fmla="*/ 1967753 h 2079812"/>
              <a:gd name="connsiteX58" fmla="*/ 1926212 w 2468577"/>
              <a:gd name="connsiteY58" fmla="*/ 1967753 h 2079812"/>
              <a:gd name="connsiteX59" fmla="*/ 1917247 w 2468577"/>
              <a:gd name="connsiteY59" fmla="*/ 1855694 h 2079812"/>
              <a:gd name="connsiteX60" fmla="*/ 1832083 w 2468577"/>
              <a:gd name="connsiteY60" fmla="*/ 1792941 h 2079812"/>
              <a:gd name="connsiteX61" fmla="*/ 1818636 w 2468577"/>
              <a:gd name="connsiteY61" fmla="*/ 1806388 h 2079812"/>
              <a:gd name="connsiteX62" fmla="*/ 1706577 w 2468577"/>
              <a:gd name="connsiteY62" fmla="*/ 1721223 h 2079812"/>
              <a:gd name="connsiteX63" fmla="*/ 1657271 w 2468577"/>
              <a:gd name="connsiteY63" fmla="*/ 1743635 h 2079812"/>
              <a:gd name="connsiteX64" fmla="*/ 1576589 w 2468577"/>
              <a:gd name="connsiteY64" fmla="*/ 1698812 h 2079812"/>
              <a:gd name="connsiteX65" fmla="*/ 1509353 w 2468577"/>
              <a:gd name="connsiteY65" fmla="*/ 1716741 h 2079812"/>
              <a:gd name="connsiteX66" fmla="*/ 1428671 w 2468577"/>
              <a:gd name="connsiteY66" fmla="*/ 1662953 h 2079812"/>
              <a:gd name="connsiteX67" fmla="*/ 1419706 w 2468577"/>
              <a:gd name="connsiteY67" fmla="*/ 1667435 h 2079812"/>
              <a:gd name="connsiteX68" fmla="*/ 1312130 w 2468577"/>
              <a:gd name="connsiteY68" fmla="*/ 1734670 h 2079812"/>
              <a:gd name="connsiteX69" fmla="*/ 1312130 w 2468577"/>
              <a:gd name="connsiteY69" fmla="*/ 1743635 h 2079812"/>
              <a:gd name="connsiteX70" fmla="*/ 1285236 w 2468577"/>
              <a:gd name="connsiteY70" fmla="*/ 1797423 h 2079812"/>
              <a:gd name="connsiteX71" fmla="*/ 1258342 w 2468577"/>
              <a:gd name="connsiteY71" fmla="*/ 1788459 h 2079812"/>
              <a:gd name="connsiteX72" fmla="*/ 1231447 w 2468577"/>
              <a:gd name="connsiteY72" fmla="*/ 1824317 h 2079812"/>
              <a:gd name="connsiteX73" fmla="*/ 1222483 w 2468577"/>
              <a:gd name="connsiteY73" fmla="*/ 1913964 h 2079812"/>
              <a:gd name="connsiteX74" fmla="*/ 1200071 w 2468577"/>
              <a:gd name="connsiteY74" fmla="*/ 1936376 h 2079812"/>
              <a:gd name="connsiteX75" fmla="*/ 1159730 w 2468577"/>
              <a:gd name="connsiteY75" fmla="*/ 1918447 h 2079812"/>
              <a:gd name="connsiteX76" fmla="*/ 1079047 w 2468577"/>
              <a:gd name="connsiteY76" fmla="*/ 1958788 h 2079812"/>
              <a:gd name="connsiteX77" fmla="*/ 1065600 w 2468577"/>
              <a:gd name="connsiteY77" fmla="*/ 1990164 h 2079812"/>
              <a:gd name="connsiteX78" fmla="*/ 1007330 w 2468577"/>
              <a:gd name="connsiteY78" fmla="*/ 2017059 h 2079812"/>
              <a:gd name="connsiteX79" fmla="*/ 993883 w 2468577"/>
              <a:gd name="connsiteY79" fmla="*/ 2021541 h 2079812"/>
              <a:gd name="connsiteX80" fmla="*/ 993883 w 2468577"/>
              <a:gd name="connsiteY80" fmla="*/ 1972235 h 2079812"/>
              <a:gd name="connsiteX81" fmla="*/ 841483 w 2468577"/>
              <a:gd name="connsiteY81" fmla="*/ 1936376 h 2079812"/>
              <a:gd name="connsiteX82" fmla="*/ 819071 w 2468577"/>
              <a:gd name="connsiteY82" fmla="*/ 1878106 h 2079812"/>
              <a:gd name="connsiteX83" fmla="*/ 841483 w 2468577"/>
              <a:gd name="connsiteY83" fmla="*/ 1842247 h 2079812"/>
              <a:gd name="connsiteX84" fmla="*/ 828036 w 2468577"/>
              <a:gd name="connsiteY84" fmla="*/ 1783976 h 2079812"/>
              <a:gd name="connsiteX85" fmla="*/ 774247 w 2468577"/>
              <a:gd name="connsiteY85" fmla="*/ 1783976 h 2079812"/>
              <a:gd name="connsiteX86" fmla="*/ 778730 w 2468577"/>
              <a:gd name="connsiteY86" fmla="*/ 1748117 h 2079812"/>
              <a:gd name="connsiteX87" fmla="*/ 747353 w 2468577"/>
              <a:gd name="connsiteY87" fmla="*/ 1725706 h 2079812"/>
              <a:gd name="connsiteX88" fmla="*/ 742871 w 2468577"/>
              <a:gd name="connsiteY88" fmla="*/ 1707776 h 2079812"/>
              <a:gd name="connsiteX89" fmla="*/ 648742 w 2468577"/>
              <a:gd name="connsiteY89" fmla="*/ 1676400 h 2079812"/>
              <a:gd name="connsiteX90" fmla="*/ 590471 w 2468577"/>
              <a:gd name="connsiteY90" fmla="*/ 1721223 h 2079812"/>
              <a:gd name="connsiteX91" fmla="*/ 514271 w 2468577"/>
              <a:gd name="connsiteY91" fmla="*/ 1734670 h 2079812"/>
              <a:gd name="connsiteX92" fmla="*/ 487377 w 2468577"/>
              <a:gd name="connsiteY92" fmla="*/ 1766047 h 2079812"/>
              <a:gd name="connsiteX93" fmla="*/ 433589 w 2468577"/>
              <a:gd name="connsiteY93" fmla="*/ 1748117 h 2079812"/>
              <a:gd name="connsiteX94" fmla="*/ 294636 w 2468577"/>
              <a:gd name="connsiteY94" fmla="*/ 1752600 h 2079812"/>
              <a:gd name="connsiteX95" fmla="*/ 204989 w 2468577"/>
              <a:gd name="connsiteY95" fmla="*/ 1600200 h 2079812"/>
              <a:gd name="connsiteX96" fmla="*/ 178094 w 2468577"/>
              <a:gd name="connsiteY96" fmla="*/ 1582270 h 2079812"/>
              <a:gd name="connsiteX97" fmla="*/ 146718 w 2468577"/>
              <a:gd name="connsiteY97" fmla="*/ 1600200 h 2079812"/>
              <a:gd name="connsiteX98" fmla="*/ 115342 w 2468577"/>
              <a:gd name="connsiteY98" fmla="*/ 1483659 h 2079812"/>
              <a:gd name="connsiteX99" fmla="*/ 66036 w 2468577"/>
              <a:gd name="connsiteY99" fmla="*/ 1434353 h 2079812"/>
              <a:gd name="connsiteX100" fmla="*/ 7765 w 2468577"/>
              <a:gd name="connsiteY100" fmla="*/ 1411941 h 2079812"/>
              <a:gd name="connsiteX101" fmla="*/ 805 w 2468577"/>
              <a:gd name="connsiteY101" fmla="*/ 1309414 h 2079812"/>
              <a:gd name="connsiteX102" fmla="*/ 39142 w 2468577"/>
              <a:gd name="connsiteY102" fmla="*/ 1264023 h 2079812"/>
              <a:gd name="connsiteX103" fmla="*/ 70518 w 2468577"/>
              <a:gd name="connsiteY103" fmla="*/ 1219200 h 2079812"/>
              <a:gd name="connsiteX104" fmla="*/ 40477 w 2468577"/>
              <a:gd name="connsiteY104" fmla="*/ 1190348 h 2079812"/>
              <a:gd name="connsiteX105" fmla="*/ 0 w 2468577"/>
              <a:gd name="connsiteY105" fmla="*/ 1102659 h 2079812"/>
              <a:gd name="connsiteX106" fmla="*/ 39142 w 2468577"/>
              <a:gd name="connsiteY106" fmla="*/ 1044388 h 2079812"/>
              <a:gd name="connsiteX107" fmla="*/ 137753 w 2468577"/>
              <a:gd name="connsiteY107" fmla="*/ 896470 h 2079812"/>
              <a:gd name="connsiteX108" fmla="*/ 115342 w 2468577"/>
              <a:gd name="connsiteY108" fmla="*/ 883023 h 2079812"/>
              <a:gd name="connsiteX109" fmla="*/ 115342 w 2468577"/>
              <a:gd name="connsiteY109" fmla="*/ 860612 h 2079812"/>
              <a:gd name="connsiteX110" fmla="*/ 101894 w 2468577"/>
              <a:gd name="connsiteY110" fmla="*/ 824753 h 2079812"/>
              <a:gd name="connsiteX111" fmla="*/ 169130 w 2468577"/>
              <a:gd name="connsiteY111" fmla="*/ 793376 h 2079812"/>
              <a:gd name="connsiteX112" fmla="*/ 128789 w 2468577"/>
              <a:gd name="connsiteY112" fmla="*/ 708212 h 2079812"/>
              <a:gd name="connsiteX113" fmla="*/ 142236 w 2468577"/>
              <a:gd name="connsiteY113" fmla="*/ 654423 h 2079812"/>
              <a:gd name="connsiteX114" fmla="*/ 254294 w 2468577"/>
              <a:gd name="connsiteY114" fmla="*/ 609600 h 2079812"/>
              <a:gd name="connsiteX115" fmla="*/ 299118 w 2468577"/>
              <a:gd name="connsiteY115" fmla="*/ 632012 h 2079812"/>
              <a:gd name="connsiteX116" fmla="*/ 330494 w 2468577"/>
              <a:gd name="connsiteY116" fmla="*/ 591670 h 2079812"/>
              <a:gd name="connsiteX117" fmla="*/ 321530 w 2468577"/>
              <a:gd name="connsiteY117" fmla="*/ 416859 h 2079812"/>
              <a:gd name="connsiteX118" fmla="*/ 366353 w 2468577"/>
              <a:gd name="connsiteY118" fmla="*/ 398929 h 2079812"/>
              <a:gd name="connsiteX119" fmla="*/ 420142 w 2468577"/>
              <a:gd name="connsiteY119" fmla="*/ 313764 h 2079812"/>
              <a:gd name="connsiteX120" fmla="*/ 411177 w 2468577"/>
              <a:gd name="connsiteY120" fmla="*/ 268941 h 2079812"/>
              <a:gd name="connsiteX121" fmla="*/ 411177 w 2468577"/>
              <a:gd name="connsiteY121" fmla="*/ 165847 h 2079812"/>
              <a:gd name="connsiteX0" fmla="*/ 411177 w 2468577"/>
              <a:gd name="connsiteY0" fmla="*/ 165847 h 2079812"/>
              <a:gd name="connsiteX1" fmla="*/ 509789 w 2468577"/>
              <a:gd name="connsiteY1" fmla="*/ 183776 h 2079812"/>
              <a:gd name="connsiteX2" fmla="*/ 621847 w 2468577"/>
              <a:gd name="connsiteY2" fmla="*/ 134470 h 2079812"/>
              <a:gd name="connsiteX3" fmla="*/ 644259 w 2468577"/>
              <a:gd name="connsiteY3" fmla="*/ 49306 h 2079812"/>
              <a:gd name="connsiteX4" fmla="*/ 702530 w 2468577"/>
              <a:gd name="connsiteY4" fmla="*/ 0 h 2079812"/>
              <a:gd name="connsiteX5" fmla="*/ 729424 w 2468577"/>
              <a:gd name="connsiteY5" fmla="*/ 17929 h 2079812"/>
              <a:gd name="connsiteX6" fmla="*/ 702530 w 2468577"/>
              <a:gd name="connsiteY6" fmla="*/ 71717 h 2079812"/>
              <a:gd name="connsiteX7" fmla="*/ 702530 w 2468577"/>
              <a:gd name="connsiteY7" fmla="*/ 94129 h 2079812"/>
              <a:gd name="connsiteX8" fmla="*/ 702530 w 2468577"/>
              <a:gd name="connsiteY8" fmla="*/ 116541 h 2079812"/>
              <a:gd name="connsiteX9" fmla="*/ 707012 w 2468577"/>
              <a:gd name="connsiteY9" fmla="*/ 143435 h 2079812"/>
              <a:gd name="connsiteX10" fmla="*/ 733906 w 2468577"/>
              <a:gd name="connsiteY10" fmla="*/ 215153 h 2079812"/>
              <a:gd name="connsiteX11" fmla="*/ 733906 w 2468577"/>
              <a:gd name="connsiteY11" fmla="*/ 251012 h 2079812"/>
              <a:gd name="connsiteX12" fmla="*/ 720459 w 2468577"/>
              <a:gd name="connsiteY12" fmla="*/ 277906 h 2079812"/>
              <a:gd name="connsiteX13" fmla="*/ 720459 w 2468577"/>
              <a:gd name="connsiteY13" fmla="*/ 286870 h 2079812"/>
              <a:gd name="connsiteX14" fmla="*/ 792177 w 2468577"/>
              <a:gd name="connsiteY14" fmla="*/ 286870 h 2079812"/>
              <a:gd name="connsiteX15" fmla="*/ 877342 w 2468577"/>
              <a:gd name="connsiteY15" fmla="*/ 358588 h 2079812"/>
              <a:gd name="connsiteX16" fmla="*/ 962506 w 2468577"/>
              <a:gd name="connsiteY16" fmla="*/ 381000 h 2079812"/>
              <a:gd name="connsiteX17" fmla="*/ 962506 w 2468577"/>
              <a:gd name="connsiteY17" fmla="*/ 421341 h 2079812"/>
              <a:gd name="connsiteX18" fmla="*/ 1002847 w 2468577"/>
              <a:gd name="connsiteY18" fmla="*/ 421341 h 2079812"/>
              <a:gd name="connsiteX19" fmla="*/ 1047671 w 2468577"/>
              <a:gd name="connsiteY19" fmla="*/ 502023 h 2079812"/>
              <a:gd name="connsiteX20" fmla="*/ 1052153 w 2468577"/>
              <a:gd name="connsiteY20" fmla="*/ 510988 h 2079812"/>
              <a:gd name="connsiteX21" fmla="*/ 1105942 w 2468577"/>
              <a:gd name="connsiteY21" fmla="*/ 510988 h 2079812"/>
              <a:gd name="connsiteX22" fmla="*/ 1132836 w 2468577"/>
              <a:gd name="connsiteY22" fmla="*/ 470647 h 2079812"/>
              <a:gd name="connsiteX23" fmla="*/ 1204553 w 2468577"/>
              <a:gd name="connsiteY23" fmla="*/ 466164 h 2079812"/>
              <a:gd name="connsiteX24" fmla="*/ 1312130 w 2468577"/>
              <a:gd name="connsiteY24" fmla="*/ 528917 h 2079812"/>
              <a:gd name="connsiteX25" fmla="*/ 1334542 w 2468577"/>
              <a:gd name="connsiteY25" fmla="*/ 537882 h 2079812"/>
              <a:gd name="connsiteX26" fmla="*/ 1352471 w 2468577"/>
              <a:gd name="connsiteY26" fmla="*/ 533400 h 2079812"/>
              <a:gd name="connsiteX27" fmla="*/ 1424189 w 2468577"/>
              <a:gd name="connsiteY27" fmla="*/ 484094 h 2079812"/>
              <a:gd name="connsiteX28" fmla="*/ 1554177 w 2468577"/>
              <a:gd name="connsiteY28" fmla="*/ 524435 h 2079812"/>
              <a:gd name="connsiteX29" fmla="*/ 1599000 w 2468577"/>
              <a:gd name="connsiteY29" fmla="*/ 533400 h 2079812"/>
              <a:gd name="connsiteX30" fmla="*/ 1612447 w 2468577"/>
              <a:gd name="connsiteY30" fmla="*/ 596153 h 2079812"/>
              <a:gd name="connsiteX31" fmla="*/ 1720024 w 2468577"/>
              <a:gd name="connsiteY31" fmla="*/ 735106 h 2079812"/>
              <a:gd name="connsiteX32" fmla="*/ 1760365 w 2468577"/>
              <a:gd name="connsiteY32" fmla="*/ 744070 h 2079812"/>
              <a:gd name="connsiteX33" fmla="*/ 1760365 w 2468577"/>
              <a:gd name="connsiteY33" fmla="*/ 744070 h 2079812"/>
              <a:gd name="connsiteX34" fmla="*/ 1766528 w 2468577"/>
              <a:gd name="connsiteY34" fmla="*/ 703317 h 2079812"/>
              <a:gd name="connsiteX35" fmla="*/ 1836565 w 2468577"/>
              <a:gd name="connsiteY35" fmla="*/ 699247 h 2079812"/>
              <a:gd name="connsiteX36" fmla="*/ 1858977 w 2468577"/>
              <a:gd name="connsiteY36" fmla="*/ 753035 h 2079812"/>
              <a:gd name="connsiteX37" fmla="*/ 1894836 w 2468577"/>
              <a:gd name="connsiteY37" fmla="*/ 739588 h 2079812"/>
              <a:gd name="connsiteX38" fmla="*/ 1980000 w 2468577"/>
              <a:gd name="connsiteY38" fmla="*/ 757517 h 2079812"/>
              <a:gd name="connsiteX39" fmla="*/ 2065165 w 2468577"/>
              <a:gd name="connsiteY39" fmla="*/ 703729 h 2079812"/>
              <a:gd name="connsiteX40" fmla="*/ 2168259 w 2468577"/>
              <a:gd name="connsiteY40" fmla="*/ 797859 h 2079812"/>
              <a:gd name="connsiteX41" fmla="*/ 2347553 w 2468577"/>
              <a:gd name="connsiteY41" fmla="*/ 806823 h 2079812"/>
              <a:gd name="connsiteX42" fmla="*/ 2468577 w 2468577"/>
              <a:gd name="connsiteY42" fmla="*/ 847164 h 2079812"/>
              <a:gd name="connsiteX43" fmla="*/ 2401342 w 2468577"/>
              <a:gd name="connsiteY43" fmla="*/ 999564 h 2079812"/>
              <a:gd name="connsiteX44" fmla="*/ 2275836 w 2468577"/>
              <a:gd name="connsiteY44" fmla="*/ 1156447 h 2079812"/>
              <a:gd name="connsiteX45" fmla="*/ 2262389 w 2468577"/>
              <a:gd name="connsiteY45" fmla="*/ 1353670 h 2079812"/>
              <a:gd name="connsiteX46" fmla="*/ 2186189 w 2468577"/>
              <a:gd name="connsiteY46" fmla="*/ 1524000 h 2079812"/>
              <a:gd name="connsiteX47" fmla="*/ 2213083 w 2468577"/>
              <a:gd name="connsiteY47" fmla="*/ 1671917 h 2079812"/>
              <a:gd name="connsiteX48" fmla="*/ 2172742 w 2468577"/>
              <a:gd name="connsiteY48" fmla="*/ 1855694 h 2079812"/>
              <a:gd name="connsiteX49" fmla="*/ 2213083 w 2468577"/>
              <a:gd name="connsiteY49" fmla="*/ 1945341 h 2079812"/>
              <a:gd name="connsiteX50" fmla="*/ 2195153 w 2468577"/>
              <a:gd name="connsiteY50" fmla="*/ 1976717 h 2079812"/>
              <a:gd name="connsiteX51" fmla="*/ 2190671 w 2468577"/>
              <a:gd name="connsiteY51" fmla="*/ 2026023 h 2079812"/>
              <a:gd name="connsiteX52" fmla="*/ 2145847 w 2468577"/>
              <a:gd name="connsiteY52" fmla="*/ 2030506 h 2079812"/>
              <a:gd name="connsiteX53" fmla="*/ 2127918 w 2468577"/>
              <a:gd name="connsiteY53" fmla="*/ 2070847 h 2079812"/>
              <a:gd name="connsiteX54" fmla="*/ 2015859 w 2468577"/>
              <a:gd name="connsiteY54" fmla="*/ 2079812 h 2079812"/>
              <a:gd name="connsiteX55" fmla="*/ 2024824 w 2468577"/>
              <a:gd name="connsiteY55" fmla="*/ 2043953 h 2079812"/>
              <a:gd name="connsiteX56" fmla="*/ 1993447 w 2468577"/>
              <a:gd name="connsiteY56" fmla="*/ 2043953 h 2079812"/>
              <a:gd name="connsiteX57" fmla="*/ 1966553 w 2468577"/>
              <a:gd name="connsiteY57" fmla="*/ 1967753 h 2079812"/>
              <a:gd name="connsiteX58" fmla="*/ 1926212 w 2468577"/>
              <a:gd name="connsiteY58" fmla="*/ 1967753 h 2079812"/>
              <a:gd name="connsiteX59" fmla="*/ 1917247 w 2468577"/>
              <a:gd name="connsiteY59" fmla="*/ 1855694 h 2079812"/>
              <a:gd name="connsiteX60" fmla="*/ 1832083 w 2468577"/>
              <a:gd name="connsiteY60" fmla="*/ 1792941 h 2079812"/>
              <a:gd name="connsiteX61" fmla="*/ 1818636 w 2468577"/>
              <a:gd name="connsiteY61" fmla="*/ 1806388 h 2079812"/>
              <a:gd name="connsiteX62" fmla="*/ 1706577 w 2468577"/>
              <a:gd name="connsiteY62" fmla="*/ 1721223 h 2079812"/>
              <a:gd name="connsiteX63" fmla="*/ 1657271 w 2468577"/>
              <a:gd name="connsiteY63" fmla="*/ 1743635 h 2079812"/>
              <a:gd name="connsiteX64" fmla="*/ 1576589 w 2468577"/>
              <a:gd name="connsiteY64" fmla="*/ 1698812 h 2079812"/>
              <a:gd name="connsiteX65" fmla="*/ 1509353 w 2468577"/>
              <a:gd name="connsiteY65" fmla="*/ 1716741 h 2079812"/>
              <a:gd name="connsiteX66" fmla="*/ 1428671 w 2468577"/>
              <a:gd name="connsiteY66" fmla="*/ 1662953 h 2079812"/>
              <a:gd name="connsiteX67" fmla="*/ 1419706 w 2468577"/>
              <a:gd name="connsiteY67" fmla="*/ 1667435 h 2079812"/>
              <a:gd name="connsiteX68" fmla="*/ 1312130 w 2468577"/>
              <a:gd name="connsiteY68" fmla="*/ 1734670 h 2079812"/>
              <a:gd name="connsiteX69" fmla="*/ 1312130 w 2468577"/>
              <a:gd name="connsiteY69" fmla="*/ 1743635 h 2079812"/>
              <a:gd name="connsiteX70" fmla="*/ 1285236 w 2468577"/>
              <a:gd name="connsiteY70" fmla="*/ 1797423 h 2079812"/>
              <a:gd name="connsiteX71" fmla="*/ 1258342 w 2468577"/>
              <a:gd name="connsiteY71" fmla="*/ 1788459 h 2079812"/>
              <a:gd name="connsiteX72" fmla="*/ 1231447 w 2468577"/>
              <a:gd name="connsiteY72" fmla="*/ 1824317 h 2079812"/>
              <a:gd name="connsiteX73" fmla="*/ 1222483 w 2468577"/>
              <a:gd name="connsiteY73" fmla="*/ 1913964 h 2079812"/>
              <a:gd name="connsiteX74" fmla="*/ 1200071 w 2468577"/>
              <a:gd name="connsiteY74" fmla="*/ 1936376 h 2079812"/>
              <a:gd name="connsiteX75" fmla="*/ 1159730 w 2468577"/>
              <a:gd name="connsiteY75" fmla="*/ 1918447 h 2079812"/>
              <a:gd name="connsiteX76" fmla="*/ 1079047 w 2468577"/>
              <a:gd name="connsiteY76" fmla="*/ 1958788 h 2079812"/>
              <a:gd name="connsiteX77" fmla="*/ 1065600 w 2468577"/>
              <a:gd name="connsiteY77" fmla="*/ 1990164 h 2079812"/>
              <a:gd name="connsiteX78" fmla="*/ 1007330 w 2468577"/>
              <a:gd name="connsiteY78" fmla="*/ 2017059 h 2079812"/>
              <a:gd name="connsiteX79" fmla="*/ 993883 w 2468577"/>
              <a:gd name="connsiteY79" fmla="*/ 2021541 h 2079812"/>
              <a:gd name="connsiteX80" fmla="*/ 993883 w 2468577"/>
              <a:gd name="connsiteY80" fmla="*/ 1972235 h 2079812"/>
              <a:gd name="connsiteX81" fmla="*/ 841483 w 2468577"/>
              <a:gd name="connsiteY81" fmla="*/ 1936376 h 2079812"/>
              <a:gd name="connsiteX82" fmla="*/ 819071 w 2468577"/>
              <a:gd name="connsiteY82" fmla="*/ 1878106 h 2079812"/>
              <a:gd name="connsiteX83" fmla="*/ 841483 w 2468577"/>
              <a:gd name="connsiteY83" fmla="*/ 1842247 h 2079812"/>
              <a:gd name="connsiteX84" fmla="*/ 828036 w 2468577"/>
              <a:gd name="connsiteY84" fmla="*/ 1783976 h 2079812"/>
              <a:gd name="connsiteX85" fmla="*/ 774247 w 2468577"/>
              <a:gd name="connsiteY85" fmla="*/ 1783976 h 2079812"/>
              <a:gd name="connsiteX86" fmla="*/ 778730 w 2468577"/>
              <a:gd name="connsiteY86" fmla="*/ 1748117 h 2079812"/>
              <a:gd name="connsiteX87" fmla="*/ 747353 w 2468577"/>
              <a:gd name="connsiteY87" fmla="*/ 1725706 h 2079812"/>
              <a:gd name="connsiteX88" fmla="*/ 742871 w 2468577"/>
              <a:gd name="connsiteY88" fmla="*/ 1707776 h 2079812"/>
              <a:gd name="connsiteX89" fmla="*/ 648742 w 2468577"/>
              <a:gd name="connsiteY89" fmla="*/ 1676400 h 2079812"/>
              <a:gd name="connsiteX90" fmla="*/ 590471 w 2468577"/>
              <a:gd name="connsiteY90" fmla="*/ 1721223 h 2079812"/>
              <a:gd name="connsiteX91" fmla="*/ 514271 w 2468577"/>
              <a:gd name="connsiteY91" fmla="*/ 1734670 h 2079812"/>
              <a:gd name="connsiteX92" fmla="*/ 487377 w 2468577"/>
              <a:gd name="connsiteY92" fmla="*/ 1766047 h 2079812"/>
              <a:gd name="connsiteX93" fmla="*/ 433589 w 2468577"/>
              <a:gd name="connsiteY93" fmla="*/ 1748117 h 2079812"/>
              <a:gd name="connsiteX94" fmla="*/ 294636 w 2468577"/>
              <a:gd name="connsiteY94" fmla="*/ 1752600 h 2079812"/>
              <a:gd name="connsiteX95" fmla="*/ 204989 w 2468577"/>
              <a:gd name="connsiteY95" fmla="*/ 1600200 h 2079812"/>
              <a:gd name="connsiteX96" fmla="*/ 178094 w 2468577"/>
              <a:gd name="connsiteY96" fmla="*/ 1582270 h 2079812"/>
              <a:gd name="connsiteX97" fmla="*/ 146718 w 2468577"/>
              <a:gd name="connsiteY97" fmla="*/ 1600200 h 2079812"/>
              <a:gd name="connsiteX98" fmla="*/ 119157 w 2468577"/>
              <a:gd name="connsiteY98" fmla="*/ 1506638 h 2079812"/>
              <a:gd name="connsiteX99" fmla="*/ 66036 w 2468577"/>
              <a:gd name="connsiteY99" fmla="*/ 1434353 h 2079812"/>
              <a:gd name="connsiteX100" fmla="*/ 7765 w 2468577"/>
              <a:gd name="connsiteY100" fmla="*/ 1411941 h 2079812"/>
              <a:gd name="connsiteX101" fmla="*/ 805 w 2468577"/>
              <a:gd name="connsiteY101" fmla="*/ 1309414 h 2079812"/>
              <a:gd name="connsiteX102" fmla="*/ 39142 w 2468577"/>
              <a:gd name="connsiteY102" fmla="*/ 1264023 h 2079812"/>
              <a:gd name="connsiteX103" fmla="*/ 70518 w 2468577"/>
              <a:gd name="connsiteY103" fmla="*/ 1219200 h 2079812"/>
              <a:gd name="connsiteX104" fmla="*/ 40477 w 2468577"/>
              <a:gd name="connsiteY104" fmla="*/ 1190348 h 2079812"/>
              <a:gd name="connsiteX105" fmla="*/ 0 w 2468577"/>
              <a:gd name="connsiteY105" fmla="*/ 1102659 h 2079812"/>
              <a:gd name="connsiteX106" fmla="*/ 39142 w 2468577"/>
              <a:gd name="connsiteY106" fmla="*/ 1044388 h 2079812"/>
              <a:gd name="connsiteX107" fmla="*/ 137753 w 2468577"/>
              <a:gd name="connsiteY107" fmla="*/ 896470 h 2079812"/>
              <a:gd name="connsiteX108" fmla="*/ 115342 w 2468577"/>
              <a:gd name="connsiteY108" fmla="*/ 883023 h 2079812"/>
              <a:gd name="connsiteX109" fmla="*/ 115342 w 2468577"/>
              <a:gd name="connsiteY109" fmla="*/ 860612 h 2079812"/>
              <a:gd name="connsiteX110" fmla="*/ 101894 w 2468577"/>
              <a:gd name="connsiteY110" fmla="*/ 824753 h 2079812"/>
              <a:gd name="connsiteX111" fmla="*/ 169130 w 2468577"/>
              <a:gd name="connsiteY111" fmla="*/ 793376 h 2079812"/>
              <a:gd name="connsiteX112" fmla="*/ 128789 w 2468577"/>
              <a:gd name="connsiteY112" fmla="*/ 708212 h 2079812"/>
              <a:gd name="connsiteX113" fmla="*/ 142236 w 2468577"/>
              <a:gd name="connsiteY113" fmla="*/ 654423 h 2079812"/>
              <a:gd name="connsiteX114" fmla="*/ 254294 w 2468577"/>
              <a:gd name="connsiteY114" fmla="*/ 609600 h 2079812"/>
              <a:gd name="connsiteX115" fmla="*/ 299118 w 2468577"/>
              <a:gd name="connsiteY115" fmla="*/ 632012 h 2079812"/>
              <a:gd name="connsiteX116" fmla="*/ 330494 w 2468577"/>
              <a:gd name="connsiteY116" fmla="*/ 591670 h 2079812"/>
              <a:gd name="connsiteX117" fmla="*/ 321530 w 2468577"/>
              <a:gd name="connsiteY117" fmla="*/ 416859 h 2079812"/>
              <a:gd name="connsiteX118" fmla="*/ 366353 w 2468577"/>
              <a:gd name="connsiteY118" fmla="*/ 398929 h 2079812"/>
              <a:gd name="connsiteX119" fmla="*/ 420142 w 2468577"/>
              <a:gd name="connsiteY119" fmla="*/ 313764 h 2079812"/>
              <a:gd name="connsiteX120" fmla="*/ 411177 w 2468577"/>
              <a:gd name="connsiteY120" fmla="*/ 268941 h 2079812"/>
              <a:gd name="connsiteX121" fmla="*/ 411177 w 2468577"/>
              <a:gd name="connsiteY121" fmla="*/ 165847 h 2079812"/>
              <a:gd name="connsiteX0" fmla="*/ 411177 w 2468577"/>
              <a:gd name="connsiteY0" fmla="*/ 165847 h 2079812"/>
              <a:gd name="connsiteX1" fmla="*/ 509789 w 2468577"/>
              <a:gd name="connsiteY1" fmla="*/ 183776 h 2079812"/>
              <a:gd name="connsiteX2" fmla="*/ 621847 w 2468577"/>
              <a:gd name="connsiteY2" fmla="*/ 134470 h 2079812"/>
              <a:gd name="connsiteX3" fmla="*/ 644259 w 2468577"/>
              <a:gd name="connsiteY3" fmla="*/ 49306 h 2079812"/>
              <a:gd name="connsiteX4" fmla="*/ 702530 w 2468577"/>
              <a:gd name="connsiteY4" fmla="*/ 0 h 2079812"/>
              <a:gd name="connsiteX5" fmla="*/ 729424 w 2468577"/>
              <a:gd name="connsiteY5" fmla="*/ 17929 h 2079812"/>
              <a:gd name="connsiteX6" fmla="*/ 702530 w 2468577"/>
              <a:gd name="connsiteY6" fmla="*/ 71717 h 2079812"/>
              <a:gd name="connsiteX7" fmla="*/ 702530 w 2468577"/>
              <a:gd name="connsiteY7" fmla="*/ 94129 h 2079812"/>
              <a:gd name="connsiteX8" fmla="*/ 702530 w 2468577"/>
              <a:gd name="connsiteY8" fmla="*/ 116541 h 2079812"/>
              <a:gd name="connsiteX9" fmla="*/ 707012 w 2468577"/>
              <a:gd name="connsiteY9" fmla="*/ 143435 h 2079812"/>
              <a:gd name="connsiteX10" fmla="*/ 733906 w 2468577"/>
              <a:gd name="connsiteY10" fmla="*/ 215153 h 2079812"/>
              <a:gd name="connsiteX11" fmla="*/ 733906 w 2468577"/>
              <a:gd name="connsiteY11" fmla="*/ 251012 h 2079812"/>
              <a:gd name="connsiteX12" fmla="*/ 720459 w 2468577"/>
              <a:gd name="connsiteY12" fmla="*/ 277906 h 2079812"/>
              <a:gd name="connsiteX13" fmla="*/ 720459 w 2468577"/>
              <a:gd name="connsiteY13" fmla="*/ 286870 h 2079812"/>
              <a:gd name="connsiteX14" fmla="*/ 792177 w 2468577"/>
              <a:gd name="connsiteY14" fmla="*/ 286870 h 2079812"/>
              <a:gd name="connsiteX15" fmla="*/ 877342 w 2468577"/>
              <a:gd name="connsiteY15" fmla="*/ 358588 h 2079812"/>
              <a:gd name="connsiteX16" fmla="*/ 962506 w 2468577"/>
              <a:gd name="connsiteY16" fmla="*/ 381000 h 2079812"/>
              <a:gd name="connsiteX17" fmla="*/ 962506 w 2468577"/>
              <a:gd name="connsiteY17" fmla="*/ 421341 h 2079812"/>
              <a:gd name="connsiteX18" fmla="*/ 1002847 w 2468577"/>
              <a:gd name="connsiteY18" fmla="*/ 421341 h 2079812"/>
              <a:gd name="connsiteX19" fmla="*/ 1047671 w 2468577"/>
              <a:gd name="connsiteY19" fmla="*/ 502023 h 2079812"/>
              <a:gd name="connsiteX20" fmla="*/ 1052153 w 2468577"/>
              <a:gd name="connsiteY20" fmla="*/ 510988 h 2079812"/>
              <a:gd name="connsiteX21" fmla="*/ 1105942 w 2468577"/>
              <a:gd name="connsiteY21" fmla="*/ 510988 h 2079812"/>
              <a:gd name="connsiteX22" fmla="*/ 1132836 w 2468577"/>
              <a:gd name="connsiteY22" fmla="*/ 470647 h 2079812"/>
              <a:gd name="connsiteX23" fmla="*/ 1204553 w 2468577"/>
              <a:gd name="connsiteY23" fmla="*/ 466164 h 2079812"/>
              <a:gd name="connsiteX24" fmla="*/ 1312130 w 2468577"/>
              <a:gd name="connsiteY24" fmla="*/ 528917 h 2079812"/>
              <a:gd name="connsiteX25" fmla="*/ 1334542 w 2468577"/>
              <a:gd name="connsiteY25" fmla="*/ 537882 h 2079812"/>
              <a:gd name="connsiteX26" fmla="*/ 1352471 w 2468577"/>
              <a:gd name="connsiteY26" fmla="*/ 533400 h 2079812"/>
              <a:gd name="connsiteX27" fmla="*/ 1424189 w 2468577"/>
              <a:gd name="connsiteY27" fmla="*/ 484094 h 2079812"/>
              <a:gd name="connsiteX28" fmla="*/ 1554177 w 2468577"/>
              <a:gd name="connsiteY28" fmla="*/ 524435 h 2079812"/>
              <a:gd name="connsiteX29" fmla="*/ 1599000 w 2468577"/>
              <a:gd name="connsiteY29" fmla="*/ 533400 h 2079812"/>
              <a:gd name="connsiteX30" fmla="*/ 1612447 w 2468577"/>
              <a:gd name="connsiteY30" fmla="*/ 596153 h 2079812"/>
              <a:gd name="connsiteX31" fmla="*/ 1720024 w 2468577"/>
              <a:gd name="connsiteY31" fmla="*/ 735106 h 2079812"/>
              <a:gd name="connsiteX32" fmla="*/ 1760365 w 2468577"/>
              <a:gd name="connsiteY32" fmla="*/ 744070 h 2079812"/>
              <a:gd name="connsiteX33" fmla="*/ 1760365 w 2468577"/>
              <a:gd name="connsiteY33" fmla="*/ 744070 h 2079812"/>
              <a:gd name="connsiteX34" fmla="*/ 1766528 w 2468577"/>
              <a:gd name="connsiteY34" fmla="*/ 703317 h 2079812"/>
              <a:gd name="connsiteX35" fmla="*/ 1836565 w 2468577"/>
              <a:gd name="connsiteY35" fmla="*/ 699247 h 2079812"/>
              <a:gd name="connsiteX36" fmla="*/ 1858977 w 2468577"/>
              <a:gd name="connsiteY36" fmla="*/ 753035 h 2079812"/>
              <a:gd name="connsiteX37" fmla="*/ 1894836 w 2468577"/>
              <a:gd name="connsiteY37" fmla="*/ 739588 h 2079812"/>
              <a:gd name="connsiteX38" fmla="*/ 1980000 w 2468577"/>
              <a:gd name="connsiteY38" fmla="*/ 757517 h 2079812"/>
              <a:gd name="connsiteX39" fmla="*/ 2065165 w 2468577"/>
              <a:gd name="connsiteY39" fmla="*/ 703729 h 2079812"/>
              <a:gd name="connsiteX40" fmla="*/ 2168259 w 2468577"/>
              <a:gd name="connsiteY40" fmla="*/ 797859 h 2079812"/>
              <a:gd name="connsiteX41" fmla="*/ 2347553 w 2468577"/>
              <a:gd name="connsiteY41" fmla="*/ 806823 h 2079812"/>
              <a:gd name="connsiteX42" fmla="*/ 2468577 w 2468577"/>
              <a:gd name="connsiteY42" fmla="*/ 847164 h 2079812"/>
              <a:gd name="connsiteX43" fmla="*/ 2401342 w 2468577"/>
              <a:gd name="connsiteY43" fmla="*/ 999564 h 2079812"/>
              <a:gd name="connsiteX44" fmla="*/ 2275836 w 2468577"/>
              <a:gd name="connsiteY44" fmla="*/ 1156447 h 2079812"/>
              <a:gd name="connsiteX45" fmla="*/ 2262389 w 2468577"/>
              <a:gd name="connsiteY45" fmla="*/ 1353670 h 2079812"/>
              <a:gd name="connsiteX46" fmla="*/ 2186189 w 2468577"/>
              <a:gd name="connsiteY46" fmla="*/ 1524000 h 2079812"/>
              <a:gd name="connsiteX47" fmla="*/ 2213083 w 2468577"/>
              <a:gd name="connsiteY47" fmla="*/ 1671917 h 2079812"/>
              <a:gd name="connsiteX48" fmla="*/ 2172742 w 2468577"/>
              <a:gd name="connsiteY48" fmla="*/ 1855694 h 2079812"/>
              <a:gd name="connsiteX49" fmla="*/ 2213083 w 2468577"/>
              <a:gd name="connsiteY49" fmla="*/ 1945341 h 2079812"/>
              <a:gd name="connsiteX50" fmla="*/ 2195153 w 2468577"/>
              <a:gd name="connsiteY50" fmla="*/ 1976717 h 2079812"/>
              <a:gd name="connsiteX51" fmla="*/ 2190671 w 2468577"/>
              <a:gd name="connsiteY51" fmla="*/ 2026023 h 2079812"/>
              <a:gd name="connsiteX52" fmla="*/ 2145847 w 2468577"/>
              <a:gd name="connsiteY52" fmla="*/ 2030506 h 2079812"/>
              <a:gd name="connsiteX53" fmla="*/ 2127918 w 2468577"/>
              <a:gd name="connsiteY53" fmla="*/ 2070847 h 2079812"/>
              <a:gd name="connsiteX54" fmla="*/ 2015859 w 2468577"/>
              <a:gd name="connsiteY54" fmla="*/ 2079812 h 2079812"/>
              <a:gd name="connsiteX55" fmla="*/ 2024824 w 2468577"/>
              <a:gd name="connsiteY55" fmla="*/ 2043953 h 2079812"/>
              <a:gd name="connsiteX56" fmla="*/ 1993447 w 2468577"/>
              <a:gd name="connsiteY56" fmla="*/ 2043953 h 2079812"/>
              <a:gd name="connsiteX57" fmla="*/ 1966553 w 2468577"/>
              <a:gd name="connsiteY57" fmla="*/ 1967753 h 2079812"/>
              <a:gd name="connsiteX58" fmla="*/ 1926212 w 2468577"/>
              <a:gd name="connsiteY58" fmla="*/ 1967753 h 2079812"/>
              <a:gd name="connsiteX59" fmla="*/ 1917247 w 2468577"/>
              <a:gd name="connsiteY59" fmla="*/ 1855694 h 2079812"/>
              <a:gd name="connsiteX60" fmla="*/ 1832083 w 2468577"/>
              <a:gd name="connsiteY60" fmla="*/ 1792941 h 2079812"/>
              <a:gd name="connsiteX61" fmla="*/ 1818636 w 2468577"/>
              <a:gd name="connsiteY61" fmla="*/ 1806388 h 2079812"/>
              <a:gd name="connsiteX62" fmla="*/ 1706577 w 2468577"/>
              <a:gd name="connsiteY62" fmla="*/ 1721223 h 2079812"/>
              <a:gd name="connsiteX63" fmla="*/ 1657271 w 2468577"/>
              <a:gd name="connsiteY63" fmla="*/ 1743635 h 2079812"/>
              <a:gd name="connsiteX64" fmla="*/ 1576589 w 2468577"/>
              <a:gd name="connsiteY64" fmla="*/ 1698812 h 2079812"/>
              <a:gd name="connsiteX65" fmla="*/ 1509353 w 2468577"/>
              <a:gd name="connsiteY65" fmla="*/ 1716741 h 2079812"/>
              <a:gd name="connsiteX66" fmla="*/ 1428671 w 2468577"/>
              <a:gd name="connsiteY66" fmla="*/ 1662953 h 2079812"/>
              <a:gd name="connsiteX67" fmla="*/ 1419706 w 2468577"/>
              <a:gd name="connsiteY67" fmla="*/ 1667435 h 2079812"/>
              <a:gd name="connsiteX68" fmla="*/ 1312130 w 2468577"/>
              <a:gd name="connsiteY68" fmla="*/ 1734670 h 2079812"/>
              <a:gd name="connsiteX69" fmla="*/ 1312130 w 2468577"/>
              <a:gd name="connsiteY69" fmla="*/ 1743635 h 2079812"/>
              <a:gd name="connsiteX70" fmla="*/ 1285236 w 2468577"/>
              <a:gd name="connsiteY70" fmla="*/ 1797423 h 2079812"/>
              <a:gd name="connsiteX71" fmla="*/ 1258342 w 2468577"/>
              <a:gd name="connsiteY71" fmla="*/ 1788459 h 2079812"/>
              <a:gd name="connsiteX72" fmla="*/ 1231447 w 2468577"/>
              <a:gd name="connsiteY72" fmla="*/ 1824317 h 2079812"/>
              <a:gd name="connsiteX73" fmla="*/ 1222483 w 2468577"/>
              <a:gd name="connsiteY73" fmla="*/ 1913964 h 2079812"/>
              <a:gd name="connsiteX74" fmla="*/ 1200071 w 2468577"/>
              <a:gd name="connsiteY74" fmla="*/ 1936376 h 2079812"/>
              <a:gd name="connsiteX75" fmla="*/ 1159730 w 2468577"/>
              <a:gd name="connsiteY75" fmla="*/ 1918447 h 2079812"/>
              <a:gd name="connsiteX76" fmla="*/ 1079047 w 2468577"/>
              <a:gd name="connsiteY76" fmla="*/ 1958788 h 2079812"/>
              <a:gd name="connsiteX77" fmla="*/ 1065600 w 2468577"/>
              <a:gd name="connsiteY77" fmla="*/ 1990164 h 2079812"/>
              <a:gd name="connsiteX78" fmla="*/ 1007330 w 2468577"/>
              <a:gd name="connsiteY78" fmla="*/ 2017059 h 2079812"/>
              <a:gd name="connsiteX79" fmla="*/ 993883 w 2468577"/>
              <a:gd name="connsiteY79" fmla="*/ 2021541 h 2079812"/>
              <a:gd name="connsiteX80" fmla="*/ 993883 w 2468577"/>
              <a:gd name="connsiteY80" fmla="*/ 1972235 h 2079812"/>
              <a:gd name="connsiteX81" fmla="*/ 841483 w 2468577"/>
              <a:gd name="connsiteY81" fmla="*/ 1936376 h 2079812"/>
              <a:gd name="connsiteX82" fmla="*/ 819071 w 2468577"/>
              <a:gd name="connsiteY82" fmla="*/ 1878106 h 2079812"/>
              <a:gd name="connsiteX83" fmla="*/ 841483 w 2468577"/>
              <a:gd name="connsiteY83" fmla="*/ 1842247 h 2079812"/>
              <a:gd name="connsiteX84" fmla="*/ 828036 w 2468577"/>
              <a:gd name="connsiteY84" fmla="*/ 1783976 h 2079812"/>
              <a:gd name="connsiteX85" fmla="*/ 774247 w 2468577"/>
              <a:gd name="connsiteY85" fmla="*/ 1783976 h 2079812"/>
              <a:gd name="connsiteX86" fmla="*/ 778730 w 2468577"/>
              <a:gd name="connsiteY86" fmla="*/ 1748117 h 2079812"/>
              <a:gd name="connsiteX87" fmla="*/ 747353 w 2468577"/>
              <a:gd name="connsiteY87" fmla="*/ 1725706 h 2079812"/>
              <a:gd name="connsiteX88" fmla="*/ 742871 w 2468577"/>
              <a:gd name="connsiteY88" fmla="*/ 1707776 h 2079812"/>
              <a:gd name="connsiteX89" fmla="*/ 648742 w 2468577"/>
              <a:gd name="connsiteY89" fmla="*/ 1676400 h 2079812"/>
              <a:gd name="connsiteX90" fmla="*/ 590471 w 2468577"/>
              <a:gd name="connsiteY90" fmla="*/ 1721223 h 2079812"/>
              <a:gd name="connsiteX91" fmla="*/ 514271 w 2468577"/>
              <a:gd name="connsiteY91" fmla="*/ 1734670 h 2079812"/>
              <a:gd name="connsiteX92" fmla="*/ 487377 w 2468577"/>
              <a:gd name="connsiteY92" fmla="*/ 1766047 h 2079812"/>
              <a:gd name="connsiteX93" fmla="*/ 433589 w 2468577"/>
              <a:gd name="connsiteY93" fmla="*/ 1748117 h 2079812"/>
              <a:gd name="connsiteX94" fmla="*/ 271751 w 2468577"/>
              <a:gd name="connsiteY94" fmla="*/ 1764090 h 2079812"/>
              <a:gd name="connsiteX95" fmla="*/ 204989 w 2468577"/>
              <a:gd name="connsiteY95" fmla="*/ 1600200 h 2079812"/>
              <a:gd name="connsiteX96" fmla="*/ 178094 w 2468577"/>
              <a:gd name="connsiteY96" fmla="*/ 1582270 h 2079812"/>
              <a:gd name="connsiteX97" fmla="*/ 146718 w 2468577"/>
              <a:gd name="connsiteY97" fmla="*/ 1600200 h 2079812"/>
              <a:gd name="connsiteX98" fmla="*/ 119157 w 2468577"/>
              <a:gd name="connsiteY98" fmla="*/ 1506638 h 2079812"/>
              <a:gd name="connsiteX99" fmla="*/ 66036 w 2468577"/>
              <a:gd name="connsiteY99" fmla="*/ 1434353 h 2079812"/>
              <a:gd name="connsiteX100" fmla="*/ 7765 w 2468577"/>
              <a:gd name="connsiteY100" fmla="*/ 1411941 h 2079812"/>
              <a:gd name="connsiteX101" fmla="*/ 805 w 2468577"/>
              <a:gd name="connsiteY101" fmla="*/ 1309414 h 2079812"/>
              <a:gd name="connsiteX102" fmla="*/ 39142 w 2468577"/>
              <a:gd name="connsiteY102" fmla="*/ 1264023 h 2079812"/>
              <a:gd name="connsiteX103" fmla="*/ 70518 w 2468577"/>
              <a:gd name="connsiteY103" fmla="*/ 1219200 h 2079812"/>
              <a:gd name="connsiteX104" fmla="*/ 40477 w 2468577"/>
              <a:gd name="connsiteY104" fmla="*/ 1190348 h 2079812"/>
              <a:gd name="connsiteX105" fmla="*/ 0 w 2468577"/>
              <a:gd name="connsiteY105" fmla="*/ 1102659 h 2079812"/>
              <a:gd name="connsiteX106" fmla="*/ 39142 w 2468577"/>
              <a:gd name="connsiteY106" fmla="*/ 1044388 h 2079812"/>
              <a:gd name="connsiteX107" fmla="*/ 137753 w 2468577"/>
              <a:gd name="connsiteY107" fmla="*/ 896470 h 2079812"/>
              <a:gd name="connsiteX108" fmla="*/ 115342 w 2468577"/>
              <a:gd name="connsiteY108" fmla="*/ 883023 h 2079812"/>
              <a:gd name="connsiteX109" fmla="*/ 115342 w 2468577"/>
              <a:gd name="connsiteY109" fmla="*/ 860612 h 2079812"/>
              <a:gd name="connsiteX110" fmla="*/ 101894 w 2468577"/>
              <a:gd name="connsiteY110" fmla="*/ 824753 h 2079812"/>
              <a:gd name="connsiteX111" fmla="*/ 169130 w 2468577"/>
              <a:gd name="connsiteY111" fmla="*/ 793376 h 2079812"/>
              <a:gd name="connsiteX112" fmla="*/ 128789 w 2468577"/>
              <a:gd name="connsiteY112" fmla="*/ 708212 h 2079812"/>
              <a:gd name="connsiteX113" fmla="*/ 142236 w 2468577"/>
              <a:gd name="connsiteY113" fmla="*/ 654423 h 2079812"/>
              <a:gd name="connsiteX114" fmla="*/ 254294 w 2468577"/>
              <a:gd name="connsiteY114" fmla="*/ 609600 h 2079812"/>
              <a:gd name="connsiteX115" fmla="*/ 299118 w 2468577"/>
              <a:gd name="connsiteY115" fmla="*/ 632012 h 2079812"/>
              <a:gd name="connsiteX116" fmla="*/ 330494 w 2468577"/>
              <a:gd name="connsiteY116" fmla="*/ 591670 h 2079812"/>
              <a:gd name="connsiteX117" fmla="*/ 321530 w 2468577"/>
              <a:gd name="connsiteY117" fmla="*/ 416859 h 2079812"/>
              <a:gd name="connsiteX118" fmla="*/ 366353 w 2468577"/>
              <a:gd name="connsiteY118" fmla="*/ 398929 h 2079812"/>
              <a:gd name="connsiteX119" fmla="*/ 420142 w 2468577"/>
              <a:gd name="connsiteY119" fmla="*/ 313764 h 2079812"/>
              <a:gd name="connsiteX120" fmla="*/ 411177 w 2468577"/>
              <a:gd name="connsiteY120" fmla="*/ 268941 h 2079812"/>
              <a:gd name="connsiteX121" fmla="*/ 411177 w 2468577"/>
              <a:gd name="connsiteY121" fmla="*/ 165847 h 2079812"/>
              <a:gd name="connsiteX0" fmla="*/ 411177 w 2468577"/>
              <a:gd name="connsiteY0" fmla="*/ 165847 h 2079812"/>
              <a:gd name="connsiteX1" fmla="*/ 509789 w 2468577"/>
              <a:gd name="connsiteY1" fmla="*/ 183776 h 2079812"/>
              <a:gd name="connsiteX2" fmla="*/ 621847 w 2468577"/>
              <a:gd name="connsiteY2" fmla="*/ 134470 h 2079812"/>
              <a:gd name="connsiteX3" fmla="*/ 644259 w 2468577"/>
              <a:gd name="connsiteY3" fmla="*/ 49306 h 2079812"/>
              <a:gd name="connsiteX4" fmla="*/ 702530 w 2468577"/>
              <a:gd name="connsiteY4" fmla="*/ 0 h 2079812"/>
              <a:gd name="connsiteX5" fmla="*/ 729424 w 2468577"/>
              <a:gd name="connsiteY5" fmla="*/ 17929 h 2079812"/>
              <a:gd name="connsiteX6" fmla="*/ 702530 w 2468577"/>
              <a:gd name="connsiteY6" fmla="*/ 71717 h 2079812"/>
              <a:gd name="connsiteX7" fmla="*/ 702530 w 2468577"/>
              <a:gd name="connsiteY7" fmla="*/ 94129 h 2079812"/>
              <a:gd name="connsiteX8" fmla="*/ 702530 w 2468577"/>
              <a:gd name="connsiteY8" fmla="*/ 116541 h 2079812"/>
              <a:gd name="connsiteX9" fmla="*/ 707012 w 2468577"/>
              <a:gd name="connsiteY9" fmla="*/ 143435 h 2079812"/>
              <a:gd name="connsiteX10" fmla="*/ 733906 w 2468577"/>
              <a:gd name="connsiteY10" fmla="*/ 215153 h 2079812"/>
              <a:gd name="connsiteX11" fmla="*/ 733906 w 2468577"/>
              <a:gd name="connsiteY11" fmla="*/ 251012 h 2079812"/>
              <a:gd name="connsiteX12" fmla="*/ 720459 w 2468577"/>
              <a:gd name="connsiteY12" fmla="*/ 277906 h 2079812"/>
              <a:gd name="connsiteX13" fmla="*/ 720459 w 2468577"/>
              <a:gd name="connsiteY13" fmla="*/ 286870 h 2079812"/>
              <a:gd name="connsiteX14" fmla="*/ 792177 w 2468577"/>
              <a:gd name="connsiteY14" fmla="*/ 286870 h 2079812"/>
              <a:gd name="connsiteX15" fmla="*/ 877342 w 2468577"/>
              <a:gd name="connsiteY15" fmla="*/ 358588 h 2079812"/>
              <a:gd name="connsiteX16" fmla="*/ 962506 w 2468577"/>
              <a:gd name="connsiteY16" fmla="*/ 381000 h 2079812"/>
              <a:gd name="connsiteX17" fmla="*/ 962506 w 2468577"/>
              <a:gd name="connsiteY17" fmla="*/ 421341 h 2079812"/>
              <a:gd name="connsiteX18" fmla="*/ 1002847 w 2468577"/>
              <a:gd name="connsiteY18" fmla="*/ 421341 h 2079812"/>
              <a:gd name="connsiteX19" fmla="*/ 1047671 w 2468577"/>
              <a:gd name="connsiteY19" fmla="*/ 502023 h 2079812"/>
              <a:gd name="connsiteX20" fmla="*/ 1052153 w 2468577"/>
              <a:gd name="connsiteY20" fmla="*/ 510988 h 2079812"/>
              <a:gd name="connsiteX21" fmla="*/ 1105942 w 2468577"/>
              <a:gd name="connsiteY21" fmla="*/ 510988 h 2079812"/>
              <a:gd name="connsiteX22" fmla="*/ 1132836 w 2468577"/>
              <a:gd name="connsiteY22" fmla="*/ 470647 h 2079812"/>
              <a:gd name="connsiteX23" fmla="*/ 1204553 w 2468577"/>
              <a:gd name="connsiteY23" fmla="*/ 466164 h 2079812"/>
              <a:gd name="connsiteX24" fmla="*/ 1312130 w 2468577"/>
              <a:gd name="connsiteY24" fmla="*/ 528917 h 2079812"/>
              <a:gd name="connsiteX25" fmla="*/ 1334542 w 2468577"/>
              <a:gd name="connsiteY25" fmla="*/ 537882 h 2079812"/>
              <a:gd name="connsiteX26" fmla="*/ 1352471 w 2468577"/>
              <a:gd name="connsiteY26" fmla="*/ 533400 h 2079812"/>
              <a:gd name="connsiteX27" fmla="*/ 1424189 w 2468577"/>
              <a:gd name="connsiteY27" fmla="*/ 484094 h 2079812"/>
              <a:gd name="connsiteX28" fmla="*/ 1554177 w 2468577"/>
              <a:gd name="connsiteY28" fmla="*/ 524435 h 2079812"/>
              <a:gd name="connsiteX29" fmla="*/ 1599000 w 2468577"/>
              <a:gd name="connsiteY29" fmla="*/ 533400 h 2079812"/>
              <a:gd name="connsiteX30" fmla="*/ 1612447 w 2468577"/>
              <a:gd name="connsiteY30" fmla="*/ 596153 h 2079812"/>
              <a:gd name="connsiteX31" fmla="*/ 1720024 w 2468577"/>
              <a:gd name="connsiteY31" fmla="*/ 735106 h 2079812"/>
              <a:gd name="connsiteX32" fmla="*/ 1760365 w 2468577"/>
              <a:gd name="connsiteY32" fmla="*/ 744070 h 2079812"/>
              <a:gd name="connsiteX33" fmla="*/ 1760365 w 2468577"/>
              <a:gd name="connsiteY33" fmla="*/ 744070 h 2079812"/>
              <a:gd name="connsiteX34" fmla="*/ 1766528 w 2468577"/>
              <a:gd name="connsiteY34" fmla="*/ 703317 h 2079812"/>
              <a:gd name="connsiteX35" fmla="*/ 1802890 w 2468577"/>
              <a:gd name="connsiteY35" fmla="*/ 688689 h 2079812"/>
              <a:gd name="connsiteX36" fmla="*/ 1836565 w 2468577"/>
              <a:gd name="connsiteY36" fmla="*/ 699247 h 2079812"/>
              <a:gd name="connsiteX37" fmla="*/ 1858977 w 2468577"/>
              <a:gd name="connsiteY37" fmla="*/ 753035 h 2079812"/>
              <a:gd name="connsiteX38" fmla="*/ 1894836 w 2468577"/>
              <a:gd name="connsiteY38" fmla="*/ 739588 h 2079812"/>
              <a:gd name="connsiteX39" fmla="*/ 1980000 w 2468577"/>
              <a:gd name="connsiteY39" fmla="*/ 757517 h 2079812"/>
              <a:gd name="connsiteX40" fmla="*/ 2065165 w 2468577"/>
              <a:gd name="connsiteY40" fmla="*/ 703729 h 2079812"/>
              <a:gd name="connsiteX41" fmla="*/ 2168259 w 2468577"/>
              <a:gd name="connsiteY41" fmla="*/ 797859 h 2079812"/>
              <a:gd name="connsiteX42" fmla="*/ 2347553 w 2468577"/>
              <a:gd name="connsiteY42" fmla="*/ 806823 h 2079812"/>
              <a:gd name="connsiteX43" fmla="*/ 2468577 w 2468577"/>
              <a:gd name="connsiteY43" fmla="*/ 847164 h 2079812"/>
              <a:gd name="connsiteX44" fmla="*/ 2401342 w 2468577"/>
              <a:gd name="connsiteY44" fmla="*/ 999564 h 2079812"/>
              <a:gd name="connsiteX45" fmla="*/ 2275836 w 2468577"/>
              <a:gd name="connsiteY45" fmla="*/ 1156447 h 2079812"/>
              <a:gd name="connsiteX46" fmla="*/ 2262389 w 2468577"/>
              <a:gd name="connsiteY46" fmla="*/ 1353670 h 2079812"/>
              <a:gd name="connsiteX47" fmla="*/ 2186189 w 2468577"/>
              <a:gd name="connsiteY47" fmla="*/ 1524000 h 2079812"/>
              <a:gd name="connsiteX48" fmla="*/ 2213083 w 2468577"/>
              <a:gd name="connsiteY48" fmla="*/ 1671917 h 2079812"/>
              <a:gd name="connsiteX49" fmla="*/ 2172742 w 2468577"/>
              <a:gd name="connsiteY49" fmla="*/ 1855694 h 2079812"/>
              <a:gd name="connsiteX50" fmla="*/ 2213083 w 2468577"/>
              <a:gd name="connsiteY50" fmla="*/ 1945341 h 2079812"/>
              <a:gd name="connsiteX51" fmla="*/ 2195153 w 2468577"/>
              <a:gd name="connsiteY51" fmla="*/ 1976717 h 2079812"/>
              <a:gd name="connsiteX52" fmla="*/ 2190671 w 2468577"/>
              <a:gd name="connsiteY52" fmla="*/ 2026023 h 2079812"/>
              <a:gd name="connsiteX53" fmla="*/ 2145847 w 2468577"/>
              <a:gd name="connsiteY53" fmla="*/ 2030506 h 2079812"/>
              <a:gd name="connsiteX54" fmla="*/ 2127918 w 2468577"/>
              <a:gd name="connsiteY54" fmla="*/ 2070847 h 2079812"/>
              <a:gd name="connsiteX55" fmla="*/ 2015859 w 2468577"/>
              <a:gd name="connsiteY55" fmla="*/ 2079812 h 2079812"/>
              <a:gd name="connsiteX56" fmla="*/ 2024824 w 2468577"/>
              <a:gd name="connsiteY56" fmla="*/ 2043953 h 2079812"/>
              <a:gd name="connsiteX57" fmla="*/ 1993447 w 2468577"/>
              <a:gd name="connsiteY57" fmla="*/ 2043953 h 2079812"/>
              <a:gd name="connsiteX58" fmla="*/ 1966553 w 2468577"/>
              <a:gd name="connsiteY58" fmla="*/ 1967753 h 2079812"/>
              <a:gd name="connsiteX59" fmla="*/ 1926212 w 2468577"/>
              <a:gd name="connsiteY59" fmla="*/ 1967753 h 2079812"/>
              <a:gd name="connsiteX60" fmla="*/ 1917247 w 2468577"/>
              <a:gd name="connsiteY60" fmla="*/ 1855694 h 2079812"/>
              <a:gd name="connsiteX61" fmla="*/ 1832083 w 2468577"/>
              <a:gd name="connsiteY61" fmla="*/ 1792941 h 2079812"/>
              <a:gd name="connsiteX62" fmla="*/ 1818636 w 2468577"/>
              <a:gd name="connsiteY62" fmla="*/ 1806388 h 2079812"/>
              <a:gd name="connsiteX63" fmla="*/ 1706577 w 2468577"/>
              <a:gd name="connsiteY63" fmla="*/ 1721223 h 2079812"/>
              <a:gd name="connsiteX64" fmla="*/ 1657271 w 2468577"/>
              <a:gd name="connsiteY64" fmla="*/ 1743635 h 2079812"/>
              <a:gd name="connsiteX65" fmla="*/ 1576589 w 2468577"/>
              <a:gd name="connsiteY65" fmla="*/ 1698812 h 2079812"/>
              <a:gd name="connsiteX66" fmla="*/ 1509353 w 2468577"/>
              <a:gd name="connsiteY66" fmla="*/ 1716741 h 2079812"/>
              <a:gd name="connsiteX67" fmla="*/ 1428671 w 2468577"/>
              <a:gd name="connsiteY67" fmla="*/ 1662953 h 2079812"/>
              <a:gd name="connsiteX68" fmla="*/ 1419706 w 2468577"/>
              <a:gd name="connsiteY68" fmla="*/ 1667435 h 2079812"/>
              <a:gd name="connsiteX69" fmla="*/ 1312130 w 2468577"/>
              <a:gd name="connsiteY69" fmla="*/ 1734670 h 2079812"/>
              <a:gd name="connsiteX70" fmla="*/ 1312130 w 2468577"/>
              <a:gd name="connsiteY70" fmla="*/ 1743635 h 2079812"/>
              <a:gd name="connsiteX71" fmla="*/ 1285236 w 2468577"/>
              <a:gd name="connsiteY71" fmla="*/ 1797423 h 2079812"/>
              <a:gd name="connsiteX72" fmla="*/ 1258342 w 2468577"/>
              <a:gd name="connsiteY72" fmla="*/ 1788459 h 2079812"/>
              <a:gd name="connsiteX73" fmla="*/ 1231447 w 2468577"/>
              <a:gd name="connsiteY73" fmla="*/ 1824317 h 2079812"/>
              <a:gd name="connsiteX74" fmla="*/ 1222483 w 2468577"/>
              <a:gd name="connsiteY74" fmla="*/ 1913964 h 2079812"/>
              <a:gd name="connsiteX75" fmla="*/ 1200071 w 2468577"/>
              <a:gd name="connsiteY75" fmla="*/ 1936376 h 2079812"/>
              <a:gd name="connsiteX76" fmla="*/ 1159730 w 2468577"/>
              <a:gd name="connsiteY76" fmla="*/ 1918447 h 2079812"/>
              <a:gd name="connsiteX77" fmla="*/ 1079047 w 2468577"/>
              <a:gd name="connsiteY77" fmla="*/ 1958788 h 2079812"/>
              <a:gd name="connsiteX78" fmla="*/ 1065600 w 2468577"/>
              <a:gd name="connsiteY78" fmla="*/ 1990164 h 2079812"/>
              <a:gd name="connsiteX79" fmla="*/ 1007330 w 2468577"/>
              <a:gd name="connsiteY79" fmla="*/ 2017059 h 2079812"/>
              <a:gd name="connsiteX80" fmla="*/ 993883 w 2468577"/>
              <a:gd name="connsiteY80" fmla="*/ 2021541 h 2079812"/>
              <a:gd name="connsiteX81" fmla="*/ 993883 w 2468577"/>
              <a:gd name="connsiteY81" fmla="*/ 1972235 h 2079812"/>
              <a:gd name="connsiteX82" fmla="*/ 841483 w 2468577"/>
              <a:gd name="connsiteY82" fmla="*/ 1936376 h 2079812"/>
              <a:gd name="connsiteX83" fmla="*/ 819071 w 2468577"/>
              <a:gd name="connsiteY83" fmla="*/ 1878106 h 2079812"/>
              <a:gd name="connsiteX84" fmla="*/ 841483 w 2468577"/>
              <a:gd name="connsiteY84" fmla="*/ 1842247 h 2079812"/>
              <a:gd name="connsiteX85" fmla="*/ 828036 w 2468577"/>
              <a:gd name="connsiteY85" fmla="*/ 1783976 h 2079812"/>
              <a:gd name="connsiteX86" fmla="*/ 774247 w 2468577"/>
              <a:gd name="connsiteY86" fmla="*/ 1783976 h 2079812"/>
              <a:gd name="connsiteX87" fmla="*/ 778730 w 2468577"/>
              <a:gd name="connsiteY87" fmla="*/ 1748117 h 2079812"/>
              <a:gd name="connsiteX88" fmla="*/ 747353 w 2468577"/>
              <a:gd name="connsiteY88" fmla="*/ 1725706 h 2079812"/>
              <a:gd name="connsiteX89" fmla="*/ 742871 w 2468577"/>
              <a:gd name="connsiteY89" fmla="*/ 1707776 h 2079812"/>
              <a:gd name="connsiteX90" fmla="*/ 648742 w 2468577"/>
              <a:gd name="connsiteY90" fmla="*/ 1676400 h 2079812"/>
              <a:gd name="connsiteX91" fmla="*/ 590471 w 2468577"/>
              <a:gd name="connsiteY91" fmla="*/ 1721223 h 2079812"/>
              <a:gd name="connsiteX92" fmla="*/ 514271 w 2468577"/>
              <a:gd name="connsiteY92" fmla="*/ 1734670 h 2079812"/>
              <a:gd name="connsiteX93" fmla="*/ 487377 w 2468577"/>
              <a:gd name="connsiteY93" fmla="*/ 1766047 h 2079812"/>
              <a:gd name="connsiteX94" fmla="*/ 433589 w 2468577"/>
              <a:gd name="connsiteY94" fmla="*/ 1748117 h 2079812"/>
              <a:gd name="connsiteX95" fmla="*/ 271751 w 2468577"/>
              <a:gd name="connsiteY95" fmla="*/ 1764090 h 2079812"/>
              <a:gd name="connsiteX96" fmla="*/ 204989 w 2468577"/>
              <a:gd name="connsiteY96" fmla="*/ 1600200 h 2079812"/>
              <a:gd name="connsiteX97" fmla="*/ 178094 w 2468577"/>
              <a:gd name="connsiteY97" fmla="*/ 1582270 h 2079812"/>
              <a:gd name="connsiteX98" fmla="*/ 146718 w 2468577"/>
              <a:gd name="connsiteY98" fmla="*/ 1600200 h 2079812"/>
              <a:gd name="connsiteX99" fmla="*/ 119157 w 2468577"/>
              <a:gd name="connsiteY99" fmla="*/ 1506638 h 2079812"/>
              <a:gd name="connsiteX100" fmla="*/ 66036 w 2468577"/>
              <a:gd name="connsiteY100" fmla="*/ 1434353 h 2079812"/>
              <a:gd name="connsiteX101" fmla="*/ 7765 w 2468577"/>
              <a:gd name="connsiteY101" fmla="*/ 1411941 h 2079812"/>
              <a:gd name="connsiteX102" fmla="*/ 805 w 2468577"/>
              <a:gd name="connsiteY102" fmla="*/ 1309414 h 2079812"/>
              <a:gd name="connsiteX103" fmla="*/ 39142 w 2468577"/>
              <a:gd name="connsiteY103" fmla="*/ 1264023 h 2079812"/>
              <a:gd name="connsiteX104" fmla="*/ 70518 w 2468577"/>
              <a:gd name="connsiteY104" fmla="*/ 1219200 h 2079812"/>
              <a:gd name="connsiteX105" fmla="*/ 40477 w 2468577"/>
              <a:gd name="connsiteY105" fmla="*/ 1190348 h 2079812"/>
              <a:gd name="connsiteX106" fmla="*/ 0 w 2468577"/>
              <a:gd name="connsiteY106" fmla="*/ 1102659 h 2079812"/>
              <a:gd name="connsiteX107" fmla="*/ 39142 w 2468577"/>
              <a:gd name="connsiteY107" fmla="*/ 1044388 h 2079812"/>
              <a:gd name="connsiteX108" fmla="*/ 137753 w 2468577"/>
              <a:gd name="connsiteY108" fmla="*/ 896470 h 2079812"/>
              <a:gd name="connsiteX109" fmla="*/ 115342 w 2468577"/>
              <a:gd name="connsiteY109" fmla="*/ 883023 h 2079812"/>
              <a:gd name="connsiteX110" fmla="*/ 115342 w 2468577"/>
              <a:gd name="connsiteY110" fmla="*/ 860612 h 2079812"/>
              <a:gd name="connsiteX111" fmla="*/ 101894 w 2468577"/>
              <a:gd name="connsiteY111" fmla="*/ 824753 h 2079812"/>
              <a:gd name="connsiteX112" fmla="*/ 169130 w 2468577"/>
              <a:gd name="connsiteY112" fmla="*/ 793376 h 2079812"/>
              <a:gd name="connsiteX113" fmla="*/ 128789 w 2468577"/>
              <a:gd name="connsiteY113" fmla="*/ 708212 h 2079812"/>
              <a:gd name="connsiteX114" fmla="*/ 142236 w 2468577"/>
              <a:gd name="connsiteY114" fmla="*/ 654423 h 2079812"/>
              <a:gd name="connsiteX115" fmla="*/ 254294 w 2468577"/>
              <a:gd name="connsiteY115" fmla="*/ 609600 h 2079812"/>
              <a:gd name="connsiteX116" fmla="*/ 299118 w 2468577"/>
              <a:gd name="connsiteY116" fmla="*/ 632012 h 2079812"/>
              <a:gd name="connsiteX117" fmla="*/ 330494 w 2468577"/>
              <a:gd name="connsiteY117" fmla="*/ 591670 h 2079812"/>
              <a:gd name="connsiteX118" fmla="*/ 321530 w 2468577"/>
              <a:gd name="connsiteY118" fmla="*/ 416859 h 2079812"/>
              <a:gd name="connsiteX119" fmla="*/ 366353 w 2468577"/>
              <a:gd name="connsiteY119" fmla="*/ 398929 h 2079812"/>
              <a:gd name="connsiteX120" fmla="*/ 420142 w 2468577"/>
              <a:gd name="connsiteY120" fmla="*/ 313764 h 2079812"/>
              <a:gd name="connsiteX121" fmla="*/ 411177 w 2468577"/>
              <a:gd name="connsiteY121" fmla="*/ 268941 h 2079812"/>
              <a:gd name="connsiteX122" fmla="*/ 411177 w 2468577"/>
              <a:gd name="connsiteY122" fmla="*/ 165847 h 207981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 ang="0">
                <a:pos x="connsiteX112" y="connsiteY112"/>
              </a:cxn>
              <a:cxn ang="0">
                <a:pos x="connsiteX113" y="connsiteY113"/>
              </a:cxn>
              <a:cxn ang="0">
                <a:pos x="connsiteX114" y="connsiteY114"/>
              </a:cxn>
              <a:cxn ang="0">
                <a:pos x="connsiteX115" y="connsiteY115"/>
              </a:cxn>
              <a:cxn ang="0">
                <a:pos x="connsiteX116" y="connsiteY116"/>
              </a:cxn>
              <a:cxn ang="0">
                <a:pos x="connsiteX117" y="connsiteY117"/>
              </a:cxn>
              <a:cxn ang="0">
                <a:pos x="connsiteX118" y="connsiteY118"/>
              </a:cxn>
              <a:cxn ang="0">
                <a:pos x="connsiteX119" y="connsiteY119"/>
              </a:cxn>
              <a:cxn ang="0">
                <a:pos x="connsiteX120" y="connsiteY120"/>
              </a:cxn>
              <a:cxn ang="0">
                <a:pos x="connsiteX121" y="connsiteY121"/>
              </a:cxn>
              <a:cxn ang="0">
                <a:pos x="connsiteX122" y="connsiteY122"/>
              </a:cxn>
            </a:cxnLst>
            <a:rect l="l" t="t" r="r" b="b"/>
            <a:pathLst>
              <a:path w="2468577" h="2079812">
                <a:moveTo>
                  <a:pt x="411177" y="165847"/>
                </a:moveTo>
                <a:lnTo>
                  <a:pt x="509789" y="183776"/>
                </a:lnTo>
                <a:lnTo>
                  <a:pt x="621847" y="134470"/>
                </a:lnTo>
                <a:lnTo>
                  <a:pt x="644259" y="49306"/>
                </a:lnTo>
                <a:lnTo>
                  <a:pt x="702530" y="0"/>
                </a:lnTo>
                <a:lnTo>
                  <a:pt x="729424" y="17929"/>
                </a:lnTo>
                <a:lnTo>
                  <a:pt x="702530" y="71717"/>
                </a:lnTo>
                <a:lnTo>
                  <a:pt x="702530" y="94129"/>
                </a:lnTo>
                <a:lnTo>
                  <a:pt x="702530" y="116541"/>
                </a:lnTo>
                <a:lnTo>
                  <a:pt x="707012" y="143435"/>
                </a:lnTo>
                <a:lnTo>
                  <a:pt x="733906" y="215153"/>
                </a:lnTo>
                <a:lnTo>
                  <a:pt x="733906" y="251012"/>
                </a:lnTo>
                <a:lnTo>
                  <a:pt x="720459" y="277906"/>
                </a:lnTo>
                <a:lnTo>
                  <a:pt x="720459" y="286870"/>
                </a:lnTo>
                <a:lnTo>
                  <a:pt x="792177" y="286870"/>
                </a:lnTo>
                <a:lnTo>
                  <a:pt x="877342" y="358588"/>
                </a:lnTo>
                <a:lnTo>
                  <a:pt x="962506" y="381000"/>
                </a:lnTo>
                <a:lnTo>
                  <a:pt x="962506" y="421341"/>
                </a:lnTo>
                <a:lnTo>
                  <a:pt x="1002847" y="421341"/>
                </a:lnTo>
                <a:lnTo>
                  <a:pt x="1047671" y="502023"/>
                </a:lnTo>
                <a:lnTo>
                  <a:pt x="1052153" y="510988"/>
                </a:lnTo>
                <a:lnTo>
                  <a:pt x="1105942" y="510988"/>
                </a:lnTo>
                <a:lnTo>
                  <a:pt x="1132836" y="470647"/>
                </a:lnTo>
                <a:lnTo>
                  <a:pt x="1204553" y="466164"/>
                </a:lnTo>
                <a:lnTo>
                  <a:pt x="1312130" y="528917"/>
                </a:lnTo>
                <a:lnTo>
                  <a:pt x="1334542" y="537882"/>
                </a:lnTo>
                <a:lnTo>
                  <a:pt x="1352471" y="533400"/>
                </a:lnTo>
                <a:lnTo>
                  <a:pt x="1424189" y="484094"/>
                </a:lnTo>
                <a:lnTo>
                  <a:pt x="1554177" y="524435"/>
                </a:lnTo>
                <a:lnTo>
                  <a:pt x="1599000" y="533400"/>
                </a:lnTo>
                <a:lnTo>
                  <a:pt x="1612447" y="596153"/>
                </a:lnTo>
                <a:lnTo>
                  <a:pt x="1720024" y="735106"/>
                </a:lnTo>
                <a:lnTo>
                  <a:pt x="1760365" y="744070"/>
                </a:lnTo>
                <a:lnTo>
                  <a:pt x="1760365" y="744070"/>
                </a:lnTo>
                <a:lnTo>
                  <a:pt x="1766528" y="703317"/>
                </a:lnTo>
                <a:cubicBezTo>
                  <a:pt x="1778649" y="702271"/>
                  <a:pt x="1790769" y="689735"/>
                  <a:pt x="1802890" y="688689"/>
                </a:cubicBezTo>
                <a:lnTo>
                  <a:pt x="1836565" y="699247"/>
                </a:lnTo>
                <a:lnTo>
                  <a:pt x="1858977" y="753035"/>
                </a:lnTo>
                <a:lnTo>
                  <a:pt x="1894836" y="739588"/>
                </a:lnTo>
                <a:lnTo>
                  <a:pt x="1980000" y="757517"/>
                </a:lnTo>
                <a:lnTo>
                  <a:pt x="2065165" y="703729"/>
                </a:lnTo>
                <a:lnTo>
                  <a:pt x="2168259" y="797859"/>
                </a:lnTo>
                <a:lnTo>
                  <a:pt x="2347553" y="806823"/>
                </a:lnTo>
                <a:lnTo>
                  <a:pt x="2468577" y="847164"/>
                </a:lnTo>
                <a:lnTo>
                  <a:pt x="2401342" y="999564"/>
                </a:lnTo>
                <a:lnTo>
                  <a:pt x="2275836" y="1156447"/>
                </a:lnTo>
                <a:lnTo>
                  <a:pt x="2262389" y="1353670"/>
                </a:lnTo>
                <a:lnTo>
                  <a:pt x="2186189" y="1524000"/>
                </a:lnTo>
                <a:lnTo>
                  <a:pt x="2213083" y="1671917"/>
                </a:lnTo>
                <a:lnTo>
                  <a:pt x="2172742" y="1855694"/>
                </a:lnTo>
                <a:lnTo>
                  <a:pt x="2213083" y="1945341"/>
                </a:lnTo>
                <a:lnTo>
                  <a:pt x="2195153" y="1976717"/>
                </a:lnTo>
                <a:lnTo>
                  <a:pt x="2190671" y="2026023"/>
                </a:lnTo>
                <a:lnTo>
                  <a:pt x="2145847" y="2030506"/>
                </a:lnTo>
                <a:lnTo>
                  <a:pt x="2127918" y="2070847"/>
                </a:lnTo>
                <a:lnTo>
                  <a:pt x="2015859" y="2079812"/>
                </a:lnTo>
                <a:lnTo>
                  <a:pt x="2024824" y="2043953"/>
                </a:lnTo>
                <a:lnTo>
                  <a:pt x="1993447" y="2043953"/>
                </a:lnTo>
                <a:lnTo>
                  <a:pt x="1966553" y="1967753"/>
                </a:lnTo>
                <a:lnTo>
                  <a:pt x="1926212" y="1967753"/>
                </a:lnTo>
                <a:lnTo>
                  <a:pt x="1917247" y="1855694"/>
                </a:lnTo>
                <a:lnTo>
                  <a:pt x="1832083" y="1792941"/>
                </a:lnTo>
                <a:lnTo>
                  <a:pt x="1818636" y="1806388"/>
                </a:lnTo>
                <a:lnTo>
                  <a:pt x="1706577" y="1721223"/>
                </a:lnTo>
                <a:lnTo>
                  <a:pt x="1657271" y="1743635"/>
                </a:lnTo>
                <a:lnTo>
                  <a:pt x="1576589" y="1698812"/>
                </a:lnTo>
                <a:lnTo>
                  <a:pt x="1509353" y="1716741"/>
                </a:lnTo>
                <a:lnTo>
                  <a:pt x="1428671" y="1662953"/>
                </a:lnTo>
                <a:lnTo>
                  <a:pt x="1419706" y="1667435"/>
                </a:lnTo>
                <a:lnTo>
                  <a:pt x="1312130" y="1734670"/>
                </a:lnTo>
                <a:lnTo>
                  <a:pt x="1312130" y="1743635"/>
                </a:lnTo>
                <a:lnTo>
                  <a:pt x="1285236" y="1797423"/>
                </a:lnTo>
                <a:lnTo>
                  <a:pt x="1258342" y="1788459"/>
                </a:lnTo>
                <a:lnTo>
                  <a:pt x="1231447" y="1824317"/>
                </a:lnTo>
                <a:lnTo>
                  <a:pt x="1222483" y="1913964"/>
                </a:lnTo>
                <a:lnTo>
                  <a:pt x="1200071" y="1936376"/>
                </a:lnTo>
                <a:lnTo>
                  <a:pt x="1159730" y="1918447"/>
                </a:lnTo>
                <a:lnTo>
                  <a:pt x="1079047" y="1958788"/>
                </a:lnTo>
                <a:lnTo>
                  <a:pt x="1065600" y="1990164"/>
                </a:lnTo>
                <a:lnTo>
                  <a:pt x="1007330" y="2017059"/>
                </a:lnTo>
                <a:lnTo>
                  <a:pt x="993883" y="2021541"/>
                </a:lnTo>
                <a:lnTo>
                  <a:pt x="993883" y="1972235"/>
                </a:lnTo>
                <a:lnTo>
                  <a:pt x="841483" y="1936376"/>
                </a:lnTo>
                <a:lnTo>
                  <a:pt x="819071" y="1878106"/>
                </a:lnTo>
                <a:lnTo>
                  <a:pt x="841483" y="1842247"/>
                </a:lnTo>
                <a:lnTo>
                  <a:pt x="828036" y="1783976"/>
                </a:lnTo>
                <a:lnTo>
                  <a:pt x="774247" y="1783976"/>
                </a:lnTo>
                <a:lnTo>
                  <a:pt x="778730" y="1748117"/>
                </a:lnTo>
                <a:lnTo>
                  <a:pt x="747353" y="1725706"/>
                </a:lnTo>
                <a:lnTo>
                  <a:pt x="742871" y="1707776"/>
                </a:lnTo>
                <a:lnTo>
                  <a:pt x="648742" y="1676400"/>
                </a:lnTo>
                <a:lnTo>
                  <a:pt x="590471" y="1721223"/>
                </a:lnTo>
                <a:lnTo>
                  <a:pt x="514271" y="1734670"/>
                </a:lnTo>
                <a:lnTo>
                  <a:pt x="487377" y="1766047"/>
                </a:lnTo>
                <a:lnTo>
                  <a:pt x="433589" y="1748117"/>
                </a:lnTo>
                <a:lnTo>
                  <a:pt x="271751" y="1764090"/>
                </a:lnTo>
                <a:lnTo>
                  <a:pt x="204989" y="1600200"/>
                </a:lnTo>
                <a:lnTo>
                  <a:pt x="178094" y="1582270"/>
                </a:lnTo>
                <a:lnTo>
                  <a:pt x="146718" y="1600200"/>
                </a:lnTo>
                <a:lnTo>
                  <a:pt x="119157" y="1506638"/>
                </a:lnTo>
                <a:lnTo>
                  <a:pt x="66036" y="1434353"/>
                </a:lnTo>
                <a:lnTo>
                  <a:pt x="7765" y="1411941"/>
                </a:lnTo>
                <a:lnTo>
                  <a:pt x="805" y="1309414"/>
                </a:lnTo>
                <a:lnTo>
                  <a:pt x="39142" y="1264023"/>
                </a:lnTo>
                <a:lnTo>
                  <a:pt x="70518" y="1219200"/>
                </a:lnTo>
                <a:lnTo>
                  <a:pt x="40477" y="1190348"/>
                </a:lnTo>
                <a:lnTo>
                  <a:pt x="0" y="1102659"/>
                </a:lnTo>
                <a:lnTo>
                  <a:pt x="39142" y="1044388"/>
                </a:lnTo>
                <a:lnTo>
                  <a:pt x="137753" y="896470"/>
                </a:lnTo>
                <a:lnTo>
                  <a:pt x="115342" y="883023"/>
                </a:lnTo>
                <a:lnTo>
                  <a:pt x="115342" y="860612"/>
                </a:lnTo>
                <a:lnTo>
                  <a:pt x="101894" y="824753"/>
                </a:lnTo>
                <a:lnTo>
                  <a:pt x="169130" y="793376"/>
                </a:lnTo>
                <a:lnTo>
                  <a:pt x="128789" y="708212"/>
                </a:lnTo>
                <a:lnTo>
                  <a:pt x="142236" y="654423"/>
                </a:lnTo>
                <a:lnTo>
                  <a:pt x="254294" y="609600"/>
                </a:lnTo>
                <a:lnTo>
                  <a:pt x="299118" y="632012"/>
                </a:lnTo>
                <a:lnTo>
                  <a:pt x="330494" y="591670"/>
                </a:lnTo>
                <a:lnTo>
                  <a:pt x="321530" y="416859"/>
                </a:lnTo>
                <a:lnTo>
                  <a:pt x="366353" y="398929"/>
                </a:lnTo>
                <a:lnTo>
                  <a:pt x="420142" y="313764"/>
                </a:lnTo>
                <a:lnTo>
                  <a:pt x="411177" y="268941"/>
                </a:lnTo>
                <a:lnTo>
                  <a:pt x="411177" y="165847"/>
                </a:lnTo>
                <a:close/>
              </a:path>
            </a:pathLst>
          </a:custGeom>
          <a:solidFill>
            <a:srgbClr val="3366FF"/>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Forme_Cliquer" textlink="">
        <xdr:nvSpPr>
          <xdr:cNvPr id="335" name="Bourgogne_Franche_Comté">
            <a:extLst>
              <a:ext uri="{FF2B5EF4-FFF2-40B4-BE49-F238E27FC236}">
                <a16:creationId xmlns:a16="http://schemas.microsoft.com/office/drawing/2014/main" id="{00000000-0008-0000-0100-00004F010000}"/>
              </a:ext>
            </a:extLst>
          </xdr:cNvPr>
          <xdr:cNvSpPr/>
        </xdr:nvSpPr>
        <xdr:spPr>
          <a:xfrm>
            <a:off x="5236789" y="3293514"/>
            <a:ext cx="2505149" cy="1685956"/>
          </a:xfrm>
          <a:custGeom>
            <a:avLst/>
            <a:gdLst>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49829 w 2264229"/>
              <a:gd name="connsiteY46" fmla="*/ 555171 h 1723571"/>
              <a:gd name="connsiteX47" fmla="*/ 1433286 w 2264229"/>
              <a:gd name="connsiteY47" fmla="*/ 511628 h 1723571"/>
              <a:gd name="connsiteX48" fmla="*/ 1465943 w 2264229"/>
              <a:gd name="connsiteY48" fmla="*/ 529771 h 1723571"/>
              <a:gd name="connsiteX49" fmla="*/ 1494972 w 2264229"/>
              <a:gd name="connsiteY49" fmla="*/ 508000 h 1723571"/>
              <a:gd name="connsiteX50" fmla="*/ 1505858 w 2264229"/>
              <a:gd name="connsiteY50" fmla="*/ 497114 h 1723571"/>
              <a:gd name="connsiteX51" fmla="*/ 1502229 w 2264229"/>
              <a:gd name="connsiteY51" fmla="*/ 424542 h 1723571"/>
              <a:gd name="connsiteX52" fmla="*/ 1531258 w 2264229"/>
              <a:gd name="connsiteY52" fmla="*/ 381000 h 1723571"/>
              <a:gd name="connsiteX53" fmla="*/ 1556658 w 2264229"/>
              <a:gd name="connsiteY53" fmla="*/ 391885 h 1723571"/>
              <a:gd name="connsiteX54" fmla="*/ 1589315 w 2264229"/>
              <a:gd name="connsiteY54" fmla="*/ 333828 h 1723571"/>
              <a:gd name="connsiteX55" fmla="*/ 1705429 w 2264229"/>
              <a:gd name="connsiteY55" fmla="*/ 254000 h 1723571"/>
              <a:gd name="connsiteX56" fmla="*/ 1781629 w 2264229"/>
              <a:gd name="connsiteY56" fmla="*/ 315685 h 1723571"/>
              <a:gd name="connsiteX57" fmla="*/ 1850572 w 2264229"/>
              <a:gd name="connsiteY57" fmla="*/ 293914 h 1723571"/>
              <a:gd name="connsiteX58" fmla="*/ 1930400 w 2264229"/>
              <a:gd name="connsiteY58" fmla="*/ 337457 h 1723571"/>
              <a:gd name="connsiteX59" fmla="*/ 1970315 w 2264229"/>
              <a:gd name="connsiteY59" fmla="*/ 315685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49829 w 2264229"/>
              <a:gd name="connsiteY46" fmla="*/ 555171 h 1723571"/>
              <a:gd name="connsiteX47" fmla="*/ 1433286 w 2264229"/>
              <a:gd name="connsiteY47" fmla="*/ 511628 h 1723571"/>
              <a:gd name="connsiteX48" fmla="*/ 1465943 w 2264229"/>
              <a:gd name="connsiteY48" fmla="*/ 529771 h 1723571"/>
              <a:gd name="connsiteX49" fmla="*/ 1494972 w 2264229"/>
              <a:gd name="connsiteY49" fmla="*/ 508000 h 1723571"/>
              <a:gd name="connsiteX50" fmla="*/ 1489632 w 2264229"/>
              <a:gd name="connsiteY50" fmla="*/ 465067 h 1723571"/>
              <a:gd name="connsiteX51" fmla="*/ 1502229 w 2264229"/>
              <a:gd name="connsiteY51" fmla="*/ 424542 h 1723571"/>
              <a:gd name="connsiteX52" fmla="*/ 1531258 w 2264229"/>
              <a:gd name="connsiteY52" fmla="*/ 381000 h 1723571"/>
              <a:gd name="connsiteX53" fmla="*/ 1556658 w 2264229"/>
              <a:gd name="connsiteY53" fmla="*/ 391885 h 1723571"/>
              <a:gd name="connsiteX54" fmla="*/ 1589315 w 2264229"/>
              <a:gd name="connsiteY54" fmla="*/ 333828 h 1723571"/>
              <a:gd name="connsiteX55" fmla="*/ 1705429 w 2264229"/>
              <a:gd name="connsiteY55" fmla="*/ 254000 h 1723571"/>
              <a:gd name="connsiteX56" fmla="*/ 1781629 w 2264229"/>
              <a:gd name="connsiteY56" fmla="*/ 315685 h 1723571"/>
              <a:gd name="connsiteX57" fmla="*/ 1850572 w 2264229"/>
              <a:gd name="connsiteY57" fmla="*/ 293914 h 1723571"/>
              <a:gd name="connsiteX58" fmla="*/ 1930400 w 2264229"/>
              <a:gd name="connsiteY58" fmla="*/ 337457 h 1723571"/>
              <a:gd name="connsiteX59" fmla="*/ 1970315 w 2264229"/>
              <a:gd name="connsiteY59" fmla="*/ 315685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55238 w 2264229"/>
              <a:gd name="connsiteY46" fmla="*/ 539147 h 1723571"/>
              <a:gd name="connsiteX47" fmla="*/ 1433286 w 2264229"/>
              <a:gd name="connsiteY47" fmla="*/ 511628 h 1723571"/>
              <a:gd name="connsiteX48" fmla="*/ 1465943 w 2264229"/>
              <a:gd name="connsiteY48" fmla="*/ 529771 h 1723571"/>
              <a:gd name="connsiteX49" fmla="*/ 1494972 w 2264229"/>
              <a:gd name="connsiteY49" fmla="*/ 508000 h 1723571"/>
              <a:gd name="connsiteX50" fmla="*/ 1489632 w 2264229"/>
              <a:gd name="connsiteY50" fmla="*/ 465067 h 1723571"/>
              <a:gd name="connsiteX51" fmla="*/ 1502229 w 2264229"/>
              <a:gd name="connsiteY51" fmla="*/ 424542 h 1723571"/>
              <a:gd name="connsiteX52" fmla="*/ 1531258 w 2264229"/>
              <a:gd name="connsiteY52" fmla="*/ 381000 h 1723571"/>
              <a:gd name="connsiteX53" fmla="*/ 1556658 w 2264229"/>
              <a:gd name="connsiteY53" fmla="*/ 391885 h 1723571"/>
              <a:gd name="connsiteX54" fmla="*/ 1589315 w 2264229"/>
              <a:gd name="connsiteY54" fmla="*/ 333828 h 1723571"/>
              <a:gd name="connsiteX55" fmla="*/ 1705429 w 2264229"/>
              <a:gd name="connsiteY55" fmla="*/ 254000 h 1723571"/>
              <a:gd name="connsiteX56" fmla="*/ 1781629 w 2264229"/>
              <a:gd name="connsiteY56" fmla="*/ 315685 h 1723571"/>
              <a:gd name="connsiteX57" fmla="*/ 1850572 w 2264229"/>
              <a:gd name="connsiteY57" fmla="*/ 293914 h 1723571"/>
              <a:gd name="connsiteX58" fmla="*/ 1930400 w 2264229"/>
              <a:gd name="connsiteY58" fmla="*/ 337457 h 1723571"/>
              <a:gd name="connsiteX59" fmla="*/ 1970315 w 2264229"/>
              <a:gd name="connsiteY59" fmla="*/ 315685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55238 w 2264229"/>
              <a:gd name="connsiteY46" fmla="*/ 539147 h 1723571"/>
              <a:gd name="connsiteX47" fmla="*/ 1417059 w 2264229"/>
              <a:gd name="connsiteY47" fmla="*/ 511628 h 1723571"/>
              <a:gd name="connsiteX48" fmla="*/ 1465943 w 2264229"/>
              <a:gd name="connsiteY48" fmla="*/ 529771 h 1723571"/>
              <a:gd name="connsiteX49" fmla="*/ 1494972 w 2264229"/>
              <a:gd name="connsiteY49" fmla="*/ 508000 h 1723571"/>
              <a:gd name="connsiteX50" fmla="*/ 1489632 w 2264229"/>
              <a:gd name="connsiteY50" fmla="*/ 465067 h 1723571"/>
              <a:gd name="connsiteX51" fmla="*/ 1502229 w 2264229"/>
              <a:gd name="connsiteY51" fmla="*/ 424542 h 1723571"/>
              <a:gd name="connsiteX52" fmla="*/ 1531258 w 2264229"/>
              <a:gd name="connsiteY52" fmla="*/ 381000 h 1723571"/>
              <a:gd name="connsiteX53" fmla="*/ 1556658 w 2264229"/>
              <a:gd name="connsiteY53" fmla="*/ 391885 h 1723571"/>
              <a:gd name="connsiteX54" fmla="*/ 1589315 w 2264229"/>
              <a:gd name="connsiteY54" fmla="*/ 333828 h 1723571"/>
              <a:gd name="connsiteX55" fmla="*/ 1705429 w 2264229"/>
              <a:gd name="connsiteY55" fmla="*/ 254000 h 1723571"/>
              <a:gd name="connsiteX56" fmla="*/ 1781629 w 2264229"/>
              <a:gd name="connsiteY56" fmla="*/ 315685 h 1723571"/>
              <a:gd name="connsiteX57" fmla="*/ 1850572 w 2264229"/>
              <a:gd name="connsiteY57" fmla="*/ 293914 h 1723571"/>
              <a:gd name="connsiteX58" fmla="*/ 1930400 w 2264229"/>
              <a:gd name="connsiteY58" fmla="*/ 337457 h 1723571"/>
              <a:gd name="connsiteX59" fmla="*/ 1970315 w 2264229"/>
              <a:gd name="connsiteY59" fmla="*/ 315685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55238 w 2264229"/>
              <a:gd name="connsiteY46" fmla="*/ 539147 h 1723571"/>
              <a:gd name="connsiteX47" fmla="*/ 1417059 w 2264229"/>
              <a:gd name="connsiteY47" fmla="*/ 511628 h 1723571"/>
              <a:gd name="connsiteX48" fmla="*/ 1465943 w 2264229"/>
              <a:gd name="connsiteY48" fmla="*/ 529771 h 1723571"/>
              <a:gd name="connsiteX49" fmla="*/ 1494972 w 2264229"/>
              <a:gd name="connsiteY49" fmla="*/ 508000 h 1723571"/>
              <a:gd name="connsiteX50" fmla="*/ 1489632 w 2264229"/>
              <a:gd name="connsiteY50" fmla="*/ 465067 h 1723571"/>
              <a:gd name="connsiteX51" fmla="*/ 1502229 w 2264229"/>
              <a:gd name="connsiteY51" fmla="*/ 424542 h 1723571"/>
              <a:gd name="connsiteX52" fmla="*/ 1531258 w 2264229"/>
              <a:gd name="connsiteY52" fmla="*/ 381000 h 1723571"/>
              <a:gd name="connsiteX53" fmla="*/ 1556658 w 2264229"/>
              <a:gd name="connsiteY53" fmla="*/ 391885 h 1723571"/>
              <a:gd name="connsiteX54" fmla="*/ 1583907 w 2264229"/>
              <a:gd name="connsiteY54" fmla="*/ 312464 h 1723571"/>
              <a:gd name="connsiteX55" fmla="*/ 1705429 w 2264229"/>
              <a:gd name="connsiteY55" fmla="*/ 254000 h 1723571"/>
              <a:gd name="connsiteX56" fmla="*/ 1781629 w 2264229"/>
              <a:gd name="connsiteY56" fmla="*/ 315685 h 1723571"/>
              <a:gd name="connsiteX57" fmla="*/ 1850572 w 2264229"/>
              <a:gd name="connsiteY57" fmla="*/ 293914 h 1723571"/>
              <a:gd name="connsiteX58" fmla="*/ 1930400 w 2264229"/>
              <a:gd name="connsiteY58" fmla="*/ 337457 h 1723571"/>
              <a:gd name="connsiteX59" fmla="*/ 1970315 w 2264229"/>
              <a:gd name="connsiteY59" fmla="*/ 315685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55238 w 2264229"/>
              <a:gd name="connsiteY46" fmla="*/ 539147 h 1723571"/>
              <a:gd name="connsiteX47" fmla="*/ 1417059 w 2264229"/>
              <a:gd name="connsiteY47" fmla="*/ 511628 h 1723571"/>
              <a:gd name="connsiteX48" fmla="*/ 1465943 w 2264229"/>
              <a:gd name="connsiteY48" fmla="*/ 529771 h 1723571"/>
              <a:gd name="connsiteX49" fmla="*/ 1494972 w 2264229"/>
              <a:gd name="connsiteY49" fmla="*/ 508000 h 1723571"/>
              <a:gd name="connsiteX50" fmla="*/ 1489632 w 2264229"/>
              <a:gd name="connsiteY50" fmla="*/ 465067 h 1723571"/>
              <a:gd name="connsiteX51" fmla="*/ 1531258 w 2264229"/>
              <a:gd name="connsiteY51" fmla="*/ 381000 h 1723571"/>
              <a:gd name="connsiteX52" fmla="*/ 1556658 w 2264229"/>
              <a:gd name="connsiteY52" fmla="*/ 391885 h 1723571"/>
              <a:gd name="connsiteX53" fmla="*/ 1583907 w 2264229"/>
              <a:gd name="connsiteY53" fmla="*/ 312464 h 1723571"/>
              <a:gd name="connsiteX54" fmla="*/ 1705429 w 2264229"/>
              <a:gd name="connsiteY54" fmla="*/ 254000 h 1723571"/>
              <a:gd name="connsiteX55" fmla="*/ 1781629 w 2264229"/>
              <a:gd name="connsiteY55" fmla="*/ 315685 h 1723571"/>
              <a:gd name="connsiteX56" fmla="*/ 1850572 w 2264229"/>
              <a:gd name="connsiteY56" fmla="*/ 293914 h 1723571"/>
              <a:gd name="connsiteX57" fmla="*/ 1930400 w 2264229"/>
              <a:gd name="connsiteY57" fmla="*/ 337457 h 1723571"/>
              <a:gd name="connsiteX58" fmla="*/ 1970315 w 2264229"/>
              <a:gd name="connsiteY58" fmla="*/ 315685 h 1723571"/>
              <a:gd name="connsiteX59" fmla="*/ 2093686 w 2264229"/>
              <a:gd name="connsiteY59" fmla="*/ 402771 h 1723571"/>
              <a:gd name="connsiteX60" fmla="*/ 2111829 w 2264229"/>
              <a:gd name="connsiteY60" fmla="*/ 391885 h 1723571"/>
              <a:gd name="connsiteX61" fmla="*/ 2188029 w 2264229"/>
              <a:gd name="connsiteY61" fmla="*/ 446314 h 1723571"/>
              <a:gd name="connsiteX62" fmla="*/ 2198915 w 2264229"/>
              <a:gd name="connsiteY62" fmla="*/ 558800 h 1723571"/>
              <a:gd name="connsiteX63" fmla="*/ 2235200 w 2264229"/>
              <a:gd name="connsiteY63" fmla="*/ 558800 h 1723571"/>
              <a:gd name="connsiteX64" fmla="*/ 2264229 w 2264229"/>
              <a:gd name="connsiteY64" fmla="*/ 613228 h 1723571"/>
              <a:gd name="connsiteX65" fmla="*/ 2206172 w 2264229"/>
              <a:gd name="connsiteY65" fmla="*/ 620485 h 1723571"/>
              <a:gd name="connsiteX66" fmla="*/ 2151743 w 2264229"/>
              <a:gd name="connsiteY66" fmla="*/ 678542 h 1723571"/>
              <a:gd name="connsiteX67" fmla="*/ 2140858 w 2264229"/>
              <a:gd name="connsiteY67" fmla="*/ 725714 h 1723571"/>
              <a:gd name="connsiteX68" fmla="*/ 2198915 w 2264229"/>
              <a:gd name="connsiteY68" fmla="*/ 751114 h 1723571"/>
              <a:gd name="connsiteX69" fmla="*/ 2162629 w 2264229"/>
              <a:gd name="connsiteY69" fmla="*/ 783771 h 1723571"/>
              <a:gd name="connsiteX70" fmla="*/ 2166258 w 2264229"/>
              <a:gd name="connsiteY70" fmla="*/ 823685 h 1723571"/>
              <a:gd name="connsiteX71" fmla="*/ 2013858 w 2264229"/>
              <a:gd name="connsiteY71" fmla="*/ 1019628 h 1723571"/>
              <a:gd name="connsiteX72" fmla="*/ 1912258 w 2264229"/>
              <a:gd name="connsiteY72" fmla="*/ 1081314 h 1723571"/>
              <a:gd name="connsiteX73" fmla="*/ 1923143 w 2264229"/>
              <a:gd name="connsiteY73" fmla="*/ 1197428 h 1723571"/>
              <a:gd name="connsiteX74" fmla="*/ 1778000 w 2264229"/>
              <a:gd name="connsiteY74" fmla="*/ 1338942 h 1723571"/>
              <a:gd name="connsiteX75" fmla="*/ 1730829 w 2264229"/>
              <a:gd name="connsiteY75" fmla="*/ 1491342 h 1723571"/>
              <a:gd name="connsiteX76" fmla="*/ 1680029 w 2264229"/>
              <a:gd name="connsiteY76" fmla="*/ 1571171 h 1723571"/>
              <a:gd name="connsiteX77" fmla="*/ 1596572 w 2264229"/>
              <a:gd name="connsiteY77" fmla="*/ 1618342 h 1723571"/>
              <a:gd name="connsiteX78" fmla="*/ 1563915 w 2264229"/>
              <a:gd name="connsiteY78" fmla="*/ 1618342 h 1723571"/>
              <a:gd name="connsiteX79" fmla="*/ 1556658 w 2264229"/>
              <a:gd name="connsiteY79" fmla="*/ 1578428 h 1723571"/>
              <a:gd name="connsiteX80" fmla="*/ 1516743 w 2264229"/>
              <a:gd name="connsiteY80" fmla="*/ 1563914 h 1723571"/>
              <a:gd name="connsiteX81" fmla="*/ 1455058 w 2264229"/>
              <a:gd name="connsiteY81" fmla="*/ 1618342 h 1723571"/>
              <a:gd name="connsiteX82" fmla="*/ 1422400 w 2264229"/>
              <a:gd name="connsiteY82" fmla="*/ 1618342 h 1723571"/>
              <a:gd name="connsiteX83" fmla="*/ 1426029 w 2264229"/>
              <a:gd name="connsiteY83" fmla="*/ 1582057 h 1723571"/>
              <a:gd name="connsiteX84" fmla="*/ 1386115 w 2264229"/>
              <a:gd name="connsiteY84" fmla="*/ 1582057 h 1723571"/>
              <a:gd name="connsiteX85" fmla="*/ 1331686 w 2264229"/>
              <a:gd name="connsiteY85" fmla="*/ 1480457 h 1723571"/>
              <a:gd name="connsiteX86" fmla="*/ 1266372 w 2264229"/>
              <a:gd name="connsiteY86" fmla="*/ 1444171 h 1723571"/>
              <a:gd name="connsiteX87" fmla="*/ 1201058 w 2264229"/>
              <a:gd name="connsiteY87" fmla="*/ 1455057 h 1723571"/>
              <a:gd name="connsiteX88" fmla="*/ 1132115 w 2264229"/>
              <a:gd name="connsiteY88" fmla="*/ 1440542 h 1723571"/>
              <a:gd name="connsiteX89" fmla="*/ 1052286 w 2264229"/>
              <a:gd name="connsiteY89" fmla="*/ 1701800 h 1723571"/>
              <a:gd name="connsiteX90" fmla="*/ 986972 w 2264229"/>
              <a:gd name="connsiteY90" fmla="*/ 1607457 h 1723571"/>
              <a:gd name="connsiteX91" fmla="*/ 961572 w 2264229"/>
              <a:gd name="connsiteY91" fmla="*/ 1629228 h 1723571"/>
              <a:gd name="connsiteX92" fmla="*/ 936172 w 2264229"/>
              <a:gd name="connsiteY92" fmla="*/ 1618342 h 1723571"/>
              <a:gd name="connsiteX93" fmla="*/ 903515 w 2264229"/>
              <a:gd name="connsiteY93" fmla="*/ 1636485 h 1723571"/>
              <a:gd name="connsiteX94" fmla="*/ 881743 w 2264229"/>
              <a:gd name="connsiteY94" fmla="*/ 1614714 h 1723571"/>
              <a:gd name="connsiteX95" fmla="*/ 845458 w 2264229"/>
              <a:gd name="connsiteY95" fmla="*/ 1640114 h 1723571"/>
              <a:gd name="connsiteX96" fmla="*/ 841829 w 2264229"/>
              <a:gd name="connsiteY96" fmla="*/ 1680028 h 1723571"/>
              <a:gd name="connsiteX97" fmla="*/ 769258 w 2264229"/>
              <a:gd name="connsiteY97" fmla="*/ 1723571 h 1723571"/>
              <a:gd name="connsiteX98" fmla="*/ 743858 w 2264229"/>
              <a:gd name="connsiteY98" fmla="*/ 1698171 h 1723571"/>
              <a:gd name="connsiteX99" fmla="*/ 653143 w 2264229"/>
              <a:gd name="connsiteY99" fmla="*/ 1719942 h 1723571"/>
              <a:gd name="connsiteX100" fmla="*/ 580572 w 2264229"/>
              <a:gd name="connsiteY100" fmla="*/ 1680028 h 1723571"/>
              <a:gd name="connsiteX101" fmla="*/ 580572 w 2264229"/>
              <a:gd name="connsiteY101" fmla="*/ 1632857 h 1723571"/>
              <a:gd name="connsiteX102" fmla="*/ 624115 w 2264229"/>
              <a:gd name="connsiteY102" fmla="*/ 1589314 h 1723571"/>
              <a:gd name="connsiteX103" fmla="*/ 627743 w 2264229"/>
              <a:gd name="connsiteY103" fmla="*/ 1498600 h 1723571"/>
              <a:gd name="connsiteX104" fmla="*/ 605972 w 2264229"/>
              <a:gd name="connsiteY104" fmla="*/ 1480457 h 1723571"/>
              <a:gd name="connsiteX105" fmla="*/ 511629 w 2264229"/>
              <a:gd name="connsiteY105" fmla="*/ 1440542 h 1723571"/>
              <a:gd name="connsiteX106" fmla="*/ 424543 w 2264229"/>
              <a:gd name="connsiteY106" fmla="*/ 1284514 h 1723571"/>
              <a:gd name="connsiteX107" fmla="*/ 420915 w 2264229"/>
              <a:gd name="connsiteY107" fmla="*/ 1277257 h 1723571"/>
              <a:gd name="connsiteX108" fmla="*/ 344715 w 2264229"/>
              <a:gd name="connsiteY108" fmla="*/ 1349828 h 1723571"/>
              <a:gd name="connsiteX109" fmla="*/ 286658 w 2264229"/>
              <a:gd name="connsiteY109" fmla="*/ 1302657 h 1723571"/>
              <a:gd name="connsiteX110" fmla="*/ 254000 w 2264229"/>
              <a:gd name="connsiteY110" fmla="*/ 1324428 h 1723571"/>
              <a:gd name="connsiteX111" fmla="*/ 185058 w 2264229"/>
              <a:gd name="connsiteY111" fmla="*/ 1320800 h 1723571"/>
              <a:gd name="connsiteX112" fmla="*/ 101600 w 2264229"/>
              <a:gd name="connsiteY112"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55238 w 2264229"/>
              <a:gd name="connsiteY46" fmla="*/ 539147 h 1723571"/>
              <a:gd name="connsiteX47" fmla="*/ 1417059 w 2264229"/>
              <a:gd name="connsiteY47" fmla="*/ 511628 h 1723571"/>
              <a:gd name="connsiteX48" fmla="*/ 1465943 w 2264229"/>
              <a:gd name="connsiteY48" fmla="*/ 529771 h 1723571"/>
              <a:gd name="connsiteX49" fmla="*/ 1494972 w 2264229"/>
              <a:gd name="connsiteY49" fmla="*/ 508000 h 1723571"/>
              <a:gd name="connsiteX50" fmla="*/ 1489633 w 2264229"/>
              <a:gd name="connsiteY50" fmla="*/ 406313 h 1723571"/>
              <a:gd name="connsiteX51" fmla="*/ 1531258 w 2264229"/>
              <a:gd name="connsiteY51" fmla="*/ 381000 h 1723571"/>
              <a:gd name="connsiteX52" fmla="*/ 1556658 w 2264229"/>
              <a:gd name="connsiteY52" fmla="*/ 391885 h 1723571"/>
              <a:gd name="connsiteX53" fmla="*/ 1583907 w 2264229"/>
              <a:gd name="connsiteY53" fmla="*/ 312464 h 1723571"/>
              <a:gd name="connsiteX54" fmla="*/ 1705429 w 2264229"/>
              <a:gd name="connsiteY54" fmla="*/ 254000 h 1723571"/>
              <a:gd name="connsiteX55" fmla="*/ 1781629 w 2264229"/>
              <a:gd name="connsiteY55" fmla="*/ 315685 h 1723571"/>
              <a:gd name="connsiteX56" fmla="*/ 1850572 w 2264229"/>
              <a:gd name="connsiteY56" fmla="*/ 293914 h 1723571"/>
              <a:gd name="connsiteX57" fmla="*/ 1930400 w 2264229"/>
              <a:gd name="connsiteY57" fmla="*/ 337457 h 1723571"/>
              <a:gd name="connsiteX58" fmla="*/ 1970315 w 2264229"/>
              <a:gd name="connsiteY58" fmla="*/ 315685 h 1723571"/>
              <a:gd name="connsiteX59" fmla="*/ 2093686 w 2264229"/>
              <a:gd name="connsiteY59" fmla="*/ 402771 h 1723571"/>
              <a:gd name="connsiteX60" fmla="*/ 2111829 w 2264229"/>
              <a:gd name="connsiteY60" fmla="*/ 391885 h 1723571"/>
              <a:gd name="connsiteX61" fmla="*/ 2188029 w 2264229"/>
              <a:gd name="connsiteY61" fmla="*/ 446314 h 1723571"/>
              <a:gd name="connsiteX62" fmla="*/ 2198915 w 2264229"/>
              <a:gd name="connsiteY62" fmla="*/ 558800 h 1723571"/>
              <a:gd name="connsiteX63" fmla="*/ 2235200 w 2264229"/>
              <a:gd name="connsiteY63" fmla="*/ 558800 h 1723571"/>
              <a:gd name="connsiteX64" fmla="*/ 2264229 w 2264229"/>
              <a:gd name="connsiteY64" fmla="*/ 613228 h 1723571"/>
              <a:gd name="connsiteX65" fmla="*/ 2206172 w 2264229"/>
              <a:gd name="connsiteY65" fmla="*/ 620485 h 1723571"/>
              <a:gd name="connsiteX66" fmla="*/ 2151743 w 2264229"/>
              <a:gd name="connsiteY66" fmla="*/ 678542 h 1723571"/>
              <a:gd name="connsiteX67" fmla="*/ 2140858 w 2264229"/>
              <a:gd name="connsiteY67" fmla="*/ 725714 h 1723571"/>
              <a:gd name="connsiteX68" fmla="*/ 2198915 w 2264229"/>
              <a:gd name="connsiteY68" fmla="*/ 751114 h 1723571"/>
              <a:gd name="connsiteX69" fmla="*/ 2162629 w 2264229"/>
              <a:gd name="connsiteY69" fmla="*/ 783771 h 1723571"/>
              <a:gd name="connsiteX70" fmla="*/ 2166258 w 2264229"/>
              <a:gd name="connsiteY70" fmla="*/ 823685 h 1723571"/>
              <a:gd name="connsiteX71" fmla="*/ 2013858 w 2264229"/>
              <a:gd name="connsiteY71" fmla="*/ 1019628 h 1723571"/>
              <a:gd name="connsiteX72" fmla="*/ 1912258 w 2264229"/>
              <a:gd name="connsiteY72" fmla="*/ 1081314 h 1723571"/>
              <a:gd name="connsiteX73" fmla="*/ 1923143 w 2264229"/>
              <a:gd name="connsiteY73" fmla="*/ 1197428 h 1723571"/>
              <a:gd name="connsiteX74" fmla="*/ 1778000 w 2264229"/>
              <a:gd name="connsiteY74" fmla="*/ 1338942 h 1723571"/>
              <a:gd name="connsiteX75" fmla="*/ 1730829 w 2264229"/>
              <a:gd name="connsiteY75" fmla="*/ 1491342 h 1723571"/>
              <a:gd name="connsiteX76" fmla="*/ 1680029 w 2264229"/>
              <a:gd name="connsiteY76" fmla="*/ 1571171 h 1723571"/>
              <a:gd name="connsiteX77" fmla="*/ 1596572 w 2264229"/>
              <a:gd name="connsiteY77" fmla="*/ 1618342 h 1723571"/>
              <a:gd name="connsiteX78" fmla="*/ 1563915 w 2264229"/>
              <a:gd name="connsiteY78" fmla="*/ 1618342 h 1723571"/>
              <a:gd name="connsiteX79" fmla="*/ 1556658 w 2264229"/>
              <a:gd name="connsiteY79" fmla="*/ 1578428 h 1723571"/>
              <a:gd name="connsiteX80" fmla="*/ 1516743 w 2264229"/>
              <a:gd name="connsiteY80" fmla="*/ 1563914 h 1723571"/>
              <a:gd name="connsiteX81" fmla="*/ 1455058 w 2264229"/>
              <a:gd name="connsiteY81" fmla="*/ 1618342 h 1723571"/>
              <a:gd name="connsiteX82" fmla="*/ 1422400 w 2264229"/>
              <a:gd name="connsiteY82" fmla="*/ 1618342 h 1723571"/>
              <a:gd name="connsiteX83" fmla="*/ 1426029 w 2264229"/>
              <a:gd name="connsiteY83" fmla="*/ 1582057 h 1723571"/>
              <a:gd name="connsiteX84" fmla="*/ 1386115 w 2264229"/>
              <a:gd name="connsiteY84" fmla="*/ 1582057 h 1723571"/>
              <a:gd name="connsiteX85" fmla="*/ 1331686 w 2264229"/>
              <a:gd name="connsiteY85" fmla="*/ 1480457 h 1723571"/>
              <a:gd name="connsiteX86" fmla="*/ 1266372 w 2264229"/>
              <a:gd name="connsiteY86" fmla="*/ 1444171 h 1723571"/>
              <a:gd name="connsiteX87" fmla="*/ 1201058 w 2264229"/>
              <a:gd name="connsiteY87" fmla="*/ 1455057 h 1723571"/>
              <a:gd name="connsiteX88" fmla="*/ 1132115 w 2264229"/>
              <a:gd name="connsiteY88" fmla="*/ 1440542 h 1723571"/>
              <a:gd name="connsiteX89" fmla="*/ 1052286 w 2264229"/>
              <a:gd name="connsiteY89" fmla="*/ 1701800 h 1723571"/>
              <a:gd name="connsiteX90" fmla="*/ 986972 w 2264229"/>
              <a:gd name="connsiteY90" fmla="*/ 1607457 h 1723571"/>
              <a:gd name="connsiteX91" fmla="*/ 961572 w 2264229"/>
              <a:gd name="connsiteY91" fmla="*/ 1629228 h 1723571"/>
              <a:gd name="connsiteX92" fmla="*/ 936172 w 2264229"/>
              <a:gd name="connsiteY92" fmla="*/ 1618342 h 1723571"/>
              <a:gd name="connsiteX93" fmla="*/ 903515 w 2264229"/>
              <a:gd name="connsiteY93" fmla="*/ 1636485 h 1723571"/>
              <a:gd name="connsiteX94" fmla="*/ 881743 w 2264229"/>
              <a:gd name="connsiteY94" fmla="*/ 1614714 h 1723571"/>
              <a:gd name="connsiteX95" fmla="*/ 845458 w 2264229"/>
              <a:gd name="connsiteY95" fmla="*/ 1640114 h 1723571"/>
              <a:gd name="connsiteX96" fmla="*/ 841829 w 2264229"/>
              <a:gd name="connsiteY96" fmla="*/ 1680028 h 1723571"/>
              <a:gd name="connsiteX97" fmla="*/ 769258 w 2264229"/>
              <a:gd name="connsiteY97" fmla="*/ 1723571 h 1723571"/>
              <a:gd name="connsiteX98" fmla="*/ 743858 w 2264229"/>
              <a:gd name="connsiteY98" fmla="*/ 1698171 h 1723571"/>
              <a:gd name="connsiteX99" fmla="*/ 653143 w 2264229"/>
              <a:gd name="connsiteY99" fmla="*/ 1719942 h 1723571"/>
              <a:gd name="connsiteX100" fmla="*/ 580572 w 2264229"/>
              <a:gd name="connsiteY100" fmla="*/ 1680028 h 1723571"/>
              <a:gd name="connsiteX101" fmla="*/ 580572 w 2264229"/>
              <a:gd name="connsiteY101" fmla="*/ 1632857 h 1723571"/>
              <a:gd name="connsiteX102" fmla="*/ 624115 w 2264229"/>
              <a:gd name="connsiteY102" fmla="*/ 1589314 h 1723571"/>
              <a:gd name="connsiteX103" fmla="*/ 627743 w 2264229"/>
              <a:gd name="connsiteY103" fmla="*/ 1498600 h 1723571"/>
              <a:gd name="connsiteX104" fmla="*/ 605972 w 2264229"/>
              <a:gd name="connsiteY104" fmla="*/ 1480457 h 1723571"/>
              <a:gd name="connsiteX105" fmla="*/ 511629 w 2264229"/>
              <a:gd name="connsiteY105" fmla="*/ 1440542 h 1723571"/>
              <a:gd name="connsiteX106" fmla="*/ 424543 w 2264229"/>
              <a:gd name="connsiteY106" fmla="*/ 1284514 h 1723571"/>
              <a:gd name="connsiteX107" fmla="*/ 420915 w 2264229"/>
              <a:gd name="connsiteY107" fmla="*/ 1277257 h 1723571"/>
              <a:gd name="connsiteX108" fmla="*/ 344715 w 2264229"/>
              <a:gd name="connsiteY108" fmla="*/ 1349828 h 1723571"/>
              <a:gd name="connsiteX109" fmla="*/ 286658 w 2264229"/>
              <a:gd name="connsiteY109" fmla="*/ 1302657 h 1723571"/>
              <a:gd name="connsiteX110" fmla="*/ 254000 w 2264229"/>
              <a:gd name="connsiteY110" fmla="*/ 1324428 h 1723571"/>
              <a:gd name="connsiteX111" fmla="*/ 185058 w 2264229"/>
              <a:gd name="connsiteY111" fmla="*/ 1320800 h 1723571"/>
              <a:gd name="connsiteX112" fmla="*/ 101600 w 2264229"/>
              <a:gd name="connsiteY112"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55238 w 2264229"/>
              <a:gd name="connsiteY46" fmla="*/ 539147 h 1723571"/>
              <a:gd name="connsiteX47" fmla="*/ 1417059 w 2264229"/>
              <a:gd name="connsiteY47" fmla="*/ 511628 h 1723571"/>
              <a:gd name="connsiteX48" fmla="*/ 1465943 w 2264229"/>
              <a:gd name="connsiteY48" fmla="*/ 529771 h 1723571"/>
              <a:gd name="connsiteX49" fmla="*/ 1494972 w 2264229"/>
              <a:gd name="connsiteY49" fmla="*/ 508000 h 1723571"/>
              <a:gd name="connsiteX50" fmla="*/ 1489633 w 2264229"/>
              <a:gd name="connsiteY50" fmla="*/ 406313 h 1723571"/>
              <a:gd name="connsiteX51" fmla="*/ 1556658 w 2264229"/>
              <a:gd name="connsiteY51" fmla="*/ 391885 h 1723571"/>
              <a:gd name="connsiteX52" fmla="*/ 1583907 w 2264229"/>
              <a:gd name="connsiteY52" fmla="*/ 312464 h 1723571"/>
              <a:gd name="connsiteX53" fmla="*/ 1705429 w 2264229"/>
              <a:gd name="connsiteY53" fmla="*/ 254000 h 1723571"/>
              <a:gd name="connsiteX54" fmla="*/ 1781629 w 2264229"/>
              <a:gd name="connsiteY54" fmla="*/ 315685 h 1723571"/>
              <a:gd name="connsiteX55" fmla="*/ 1850572 w 2264229"/>
              <a:gd name="connsiteY55" fmla="*/ 293914 h 1723571"/>
              <a:gd name="connsiteX56" fmla="*/ 1930400 w 2264229"/>
              <a:gd name="connsiteY56" fmla="*/ 337457 h 1723571"/>
              <a:gd name="connsiteX57" fmla="*/ 1970315 w 2264229"/>
              <a:gd name="connsiteY57" fmla="*/ 315685 h 1723571"/>
              <a:gd name="connsiteX58" fmla="*/ 2093686 w 2264229"/>
              <a:gd name="connsiteY58" fmla="*/ 402771 h 1723571"/>
              <a:gd name="connsiteX59" fmla="*/ 2111829 w 2264229"/>
              <a:gd name="connsiteY59" fmla="*/ 391885 h 1723571"/>
              <a:gd name="connsiteX60" fmla="*/ 2188029 w 2264229"/>
              <a:gd name="connsiteY60" fmla="*/ 446314 h 1723571"/>
              <a:gd name="connsiteX61" fmla="*/ 2198915 w 2264229"/>
              <a:gd name="connsiteY61" fmla="*/ 558800 h 1723571"/>
              <a:gd name="connsiteX62" fmla="*/ 2235200 w 2264229"/>
              <a:gd name="connsiteY62" fmla="*/ 558800 h 1723571"/>
              <a:gd name="connsiteX63" fmla="*/ 2264229 w 2264229"/>
              <a:gd name="connsiteY63" fmla="*/ 613228 h 1723571"/>
              <a:gd name="connsiteX64" fmla="*/ 2206172 w 2264229"/>
              <a:gd name="connsiteY64" fmla="*/ 620485 h 1723571"/>
              <a:gd name="connsiteX65" fmla="*/ 2151743 w 2264229"/>
              <a:gd name="connsiteY65" fmla="*/ 678542 h 1723571"/>
              <a:gd name="connsiteX66" fmla="*/ 2140858 w 2264229"/>
              <a:gd name="connsiteY66" fmla="*/ 725714 h 1723571"/>
              <a:gd name="connsiteX67" fmla="*/ 2198915 w 2264229"/>
              <a:gd name="connsiteY67" fmla="*/ 751114 h 1723571"/>
              <a:gd name="connsiteX68" fmla="*/ 2162629 w 2264229"/>
              <a:gd name="connsiteY68" fmla="*/ 783771 h 1723571"/>
              <a:gd name="connsiteX69" fmla="*/ 2166258 w 2264229"/>
              <a:gd name="connsiteY69" fmla="*/ 823685 h 1723571"/>
              <a:gd name="connsiteX70" fmla="*/ 2013858 w 2264229"/>
              <a:gd name="connsiteY70" fmla="*/ 1019628 h 1723571"/>
              <a:gd name="connsiteX71" fmla="*/ 1912258 w 2264229"/>
              <a:gd name="connsiteY71" fmla="*/ 1081314 h 1723571"/>
              <a:gd name="connsiteX72" fmla="*/ 1923143 w 2264229"/>
              <a:gd name="connsiteY72" fmla="*/ 1197428 h 1723571"/>
              <a:gd name="connsiteX73" fmla="*/ 1778000 w 2264229"/>
              <a:gd name="connsiteY73" fmla="*/ 1338942 h 1723571"/>
              <a:gd name="connsiteX74" fmla="*/ 1730829 w 2264229"/>
              <a:gd name="connsiteY74" fmla="*/ 1491342 h 1723571"/>
              <a:gd name="connsiteX75" fmla="*/ 1680029 w 2264229"/>
              <a:gd name="connsiteY75" fmla="*/ 1571171 h 1723571"/>
              <a:gd name="connsiteX76" fmla="*/ 1596572 w 2264229"/>
              <a:gd name="connsiteY76" fmla="*/ 1618342 h 1723571"/>
              <a:gd name="connsiteX77" fmla="*/ 1563915 w 2264229"/>
              <a:gd name="connsiteY77" fmla="*/ 1618342 h 1723571"/>
              <a:gd name="connsiteX78" fmla="*/ 1556658 w 2264229"/>
              <a:gd name="connsiteY78" fmla="*/ 1578428 h 1723571"/>
              <a:gd name="connsiteX79" fmla="*/ 1516743 w 2264229"/>
              <a:gd name="connsiteY79" fmla="*/ 1563914 h 1723571"/>
              <a:gd name="connsiteX80" fmla="*/ 1455058 w 2264229"/>
              <a:gd name="connsiteY80" fmla="*/ 1618342 h 1723571"/>
              <a:gd name="connsiteX81" fmla="*/ 1422400 w 2264229"/>
              <a:gd name="connsiteY81" fmla="*/ 1618342 h 1723571"/>
              <a:gd name="connsiteX82" fmla="*/ 1426029 w 2264229"/>
              <a:gd name="connsiteY82" fmla="*/ 1582057 h 1723571"/>
              <a:gd name="connsiteX83" fmla="*/ 1386115 w 2264229"/>
              <a:gd name="connsiteY83" fmla="*/ 1582057 h 1723571"/>
              <a:gd name="connsiteX84" fmla="*/ 1331686 w 2264229"/>
              <a:gd name="connsiteY84" fmla="*/ 1480457 h 1723571"/>
              <a:gd name="connsiteX85" fmla="*/ 1266372 w 2264229"/>
              <a:gd name="connsiteY85" fmla="*/ 1444171 h 1723571"/>
              <a:gd name="connsiteX86" fmla="*/ 1201058 w 2264229"/>
              <a:gd name="connsiteY86" fmla="*/ 1455057 h 1723571"/>
              <a:gd name="connsiteX87" fmla="*/ 1132115 w 2264229"/>
              <a:gd name="connsiteY87" fmla="*/ 1440542 h 1723571"/>
              <a:gd name="connsiteX88" fmla="*/ 1052286 w 2264229"/>
              <a:gd name="connsiteY88" fmla="*/ 1701800 h 1723571"/>
              <a:gd name="connsiteX89" fmla="*/ 986972 w 2264229"/>
              <a:gd name="connsiteY89" fmla="*/ 1607457 h 1723571"/>
              <a:gd name="connsiteX90" fmla="*/ 961572 w 2264229"/>
              <a:gd name="connsiteY90" fmla="*/ 1629228 h 1723571"/>
              <a:gd name="connsiteX91" fmla="*/ 936172 w 2264229"/>
              <a:gd name="connsiteY91" fmla="*/ 1618342 h 1723571"/>
              <a:gd name="connsiteX92" fmla="*/ 903515 w 2264229"/>
              <a:gd name="connsiteY92" fmla="*/ 1636485 h 1723571"/>
              <a:gd name="connsiteX93" fmla="*/ 881743 w 2264229"/>
              <a:gd name="connsiteY93" fmla="*/ 1614714 h 1723571"/>
              <a:gd name="connsiteX94" fmla="*/ 845458 w 2264229"/>
              <a:gd name="connsiteY94" fmla="*/ 1640114 h 1723571"/>
              <a:gd name="connsiteX95" fmla="*/ 841829 w 2264229"/>
              <a:gd name="connsiteY95" fmla="*/ 1680028 h 1723571"/>
              <a:gd name="connsiteX96" fmla="*/ 769258 w 2264229"/>
              <a:gd name="connsiteY96" fmla="*/ 1723571 h 1723571"/>
              <a:gd name="connsiteX97" fmla="*/ 743858 w 2264229"/>
              <a:gd name="connsiteY97" fmla="*/ 1698171 h 1723571"/>
              <a:gd name="connsiteX98" fmla="*/ 653143 w 2264229"/>
              <a:gd name="connsiteY98" fmla="*/ 1719942 h 1723571"/>
              <a:gd name="connsiteX99" fmla="*/ 580572 w 2264229"/>
              <a:gd name="connsiteY99" fmla="*/ 1680028 h 1723571"/>
              <a:gd name="connsiteX100" fmla="*/ 580572 w 2264229"/>
              <a:gd name="connsiteY100" fmla="*/ 1632857 h 1723571"/>
              <a:gd name="connsiteX101" fmla="*/ 624115 w 2264229"/>
              <a:gd name="connsiteY101" fmla="*/ 1589314 h 1723571"/>
              <a:gd name="connsiteX102" fmla="*/ 627743 w 2264229"/>
              <a:gd name="connsiteY102" fmla="*/ 1498600 h 1723571"/>
              <a:gd name="connsiteX103" fmla="*/ 605972 w 2264229"/>
              <a:gd name="connsiteY103" fmla="*/ 1480457 h 1723571"/>
              <a:gd name="connsiteX104" fmla="*/ 511629 w 2264229"/>
              <a:gd name="connsiteY104" fmla="*/ 1440542 h 1723571"/>
              <a:gd name="connsiteX105" fmla="*/ 424543 w 2264229"/>
              <a:gd name="connsiteY105" fmla="*/ 1284514 h 1723571"/>
              <a:gd name="connsiteX106" fmla="*/ 420915 w 2264229"/>
              <a:gd name="connsiteY106" fmla="*/ 1277257 h 1723571"/>
              <a:gd name="connsiteX107" fmla="*/ 344715 w 2264229"/>
              <a:gd name="connsiteY107" fmla="*/ 1349828 h 1723571"/>
              <a:gd name="connsiteX108" fmla="*/ 286658 w 2264229"/>
              <a:gd name="connsiteY108" fmla="*/ 1302657 h 1723571"/>
              <a:gd name="connsiteX109" fmla="*/ 254000 w 2264229"/>
              <a:gd name="connsiteY109" fmla="*/ 1324428 h 1723571"/>
              <a:gd name="connsiteX110" fmla="*/ 185058 w 2264229"/>
              <a:gd name="connsiteY110" fmla="*/ 1320800 h 1723571"/>
              <a:gd name="connsiteX111" fmla="*/ 101600 w 2264229"/>
              <a:gd name="connsiteY111"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55238 w 2264229"/>
              <a:gd name="connsiteY46" fmla="*/ 539147 h 1723571"/>
              <a:gd name="connsiteX47" fmla="*/ 1417059 w 2264229"/>
              <a:gd name="connsiteY47" fmla="*/ 511628 h 1723571"/>
              <a:gd name="connsiteX48" fmla="*/ 1465943 w 2264229"/>
              <a:gd name="connsiteY48" fmla="*/ 529771 h 1723571"/>
              <a:gd name="connsiteX49" fmla="*/ 1485365 w 2264229"/>
              <a:gd name="connsiteY49" fmla="*/ 500354 h 1723571"/>
              <a:gd name="connsiteX50" fmla="*/ 1489633 w 2264229"/>
              <a:gd name="connsiteY50" fmla="*/ 406313 h 1723571"/>
              <a:gd name="connsiteX51" fmla="*/ 1556658 w 2264229"/>
              <a:gd name="connsiteY51" fmla="*/ 391885 h 1723571"/>
              <a:gd name="connsiteX52" fmla="*/ 1583907 w 2264229"/>
              <a:gd name="connsiteY52" fmla="*/ 312464 h 1723571"/>
              <a:gd name="connsiteX53" fmla="*/ 1705429 w 2264229"/>
              <a:gd name="connsiteY53" fmla="*/ 254000 h 1723571"/>
              <a:gd name="connsiteX54" fmla="*/ 1781629 w 2264229"/>
              <a:gd name="connsiteY54" fmla="*/ 315685 h 1723571"/>
              <a:gd name="connsiteX55" fmla="*/ 1850572 w 2264229"/>
              <a:gd name="connsiteY55" fmla="*/ 293914 h 1723571"/>
              <a:gd name="connsiteX56" fmla="*/ 1930400 w 2264229"/>
              <a:gd name="connsiteY56" fmla="*/ 337457 h 1723571"/>
              <a:gd name="connsiteX57" fmla="*/ 1970315 w 2264229"/>
              <a:gd name="connsiteY57" fmla="*/ 315685 h 1723571"/>
              <a:gd name="connsiteX58" fmla="*/ 2093686 w 2264229"/>
              <a:gd name="connsiteY58" fmla="*/ 402771 h 1723571"/>
              <a:gd name="connsiteX59" fmla="*/ 2111829 w 2264229"/>
              <a:gd name="connsiteY59" fmla="*/ 391885 h 1723571"/>
              <a:gd name="connsiteX60" fmla="*/ 2188029 w 2264229"/>
              <a:gd name="connsiteY60" fmla="*/ 446314 h 1723571"/>
              <a:gd name="connsiteX61" fmla="*/ 2198915 w 2264229"/>
              <a:gd name="connsiteY61" fmla="*/ 558800 h 1723571"/>
              <a:gd name="connsiteX62" fmla="*/ 2235200 w 2264229"/>
              <a:gd name="connsiteY62" fmla="*/ 558800 h 1723571"/>
              <a:gd name="connsiteX63" fmla="*/ 2264229 w 2264229"/>
              <a:gd name="connsiteY63" fmla="*/ 613228 h 1723571"/>
              <a:gd name="connsiteX64" fmla="*/ 2206172 w 2264229"/>
              <a:gd name="connsiteY64" fmla="*/ 620485 h 1723571"/>
              <a:gd name="connsiteX65" fmla="*/ 2151743 w 2264229"/>
              <a:gd name="connsiteY65" fmla="*/ 678542 h 1723571"/>
              <a:gd name="connsiteX66" fmla="*/ 2140858 w 2264229"/>
              <a:gd name="connsiteY66" fmla="*/ 725714 h 1723571"/>
              <a:gd name="connsiteX67" fmla="*/ 2198915 w 2264229"/>
              <a:gd name="connsiteY67" fmla="*/ 751114 h 1723571"/>
              <a:gd name="connsiteX68" fmla="*/ 2162629 w 2264229"/>
              <a:gd name="connsiteY68" fmla="*/ 783771 h 1723571"/>
              <a:gd name="connsiteX69" fmla="*/ 2166258 w 2264229"/>
              <a:gd name="connsiteY69" fmla="*/ 823685 h 1723571"/>
              <a:gd name="connsiteX70" fmla="*/ 2013858 w 2264229"/>
              <a:gd name="connsiteY70" fmla="*/ 1019628 h 1723571"/>
              <a:gd name="connsiteX71" fmla="*/ 1912258 w 2264229"/>
              <a:gd name="connsiteY71" fmla="*/ 1081314 h 1723571"/>
              <a:gd name="connsiteX72" fmla="*/ 1923143 w 2264229"/>
              <a:gd name="connsiteY72" fmla="*/ 1197428 h 1723571"/>
              <a:gd name="connsiteX73" fmla="*/ 1778000 w 2264229"/>
              <a:gd name="connsiteY73" fmla="*/ 1338942 h 1723571"/>
              <a:gd name="connsiteX74" fmla="*/ 1730829 w 2264229"/>
              <a:gd name="connsiteY74" fmla="*/ 1491342 h 1723571"/>
              <a:gd name="connsiteX75" fmla="*/ 1680029 w 2264229"/>
              <a:gd name="connsiteY75" fmla="*/ 1571171 h 1723571"/>
              <a:gd name="connsiteX76" fmla="*/ 1596572 w 2264229"/>
              <a:gd name="connsiteY76" fmla="*/ 1618342 h 1723571"/>
              <a:gd name="connsiteX77" fmla="*/ 1563915 w 2264229"/>
              <a:gd name="connsiteY77" fmla="*/ 1618342 h 1723571"/>
              <a:gd name="connsiteX78" fmla="*/ 1556658 w 2264229"/>
              <a:gd name="connsiteY78" fmla="*/ 1578428 h 1723571"/>
              <a:gd name="connsiteX79" fmla="*/ 1516743 w 2264229"/>
              <a:gd name="connsiteY79" fmla="*/ 1563914 h 1723571"/>
              <a:gd name="connsiteX80" fmla="*/ 1455058 w 2264229"/>
              <a:gd name="connsiteY80" fmla="*/ 1618342 h 1723571"/>
              <a:gd name="connsiteX81" fmla="*/ 1422400 w 2264229"/>
              <a:gd name="connsiteY81" fmla="*/ 1618342 h 1723571"/>
              <a:gd name="connsiteX82" fmla="*/ 1426029 w 2264229"/>
              <a:gd name="connsiteY82" fmla="*/ 1582057 h 1723571"/>
              <a:gd name="connsiteX83" fmla="*/ 1386115 w 2264229"/>
              <a:gd name="connsiteY83" fmla="*/ 1582057 h 1723571"/>
              <a:gd name="connsiteX84" fmla="*/ 1331686 w 2264229"/>
              <a:gd name="connsiteY84" fmla="*/ 1480457 h 1723571"/>
              <a:gd name="connsiteX85" fmla="*/ 1266372 w 2264229"/>
              <a:gd name="connsiteY85" fmla="*/ 1444171 h 1723571"/>
              <a:gd name="connsiteX86" fmla="*/ 1201058 w 2264229"/>
              <a:gd name="connsiteY86" fmla="*/ 1455057 h 1723571"/>
              <a:gd name="connsiteX87" fmla="*/ 1132115 w 2264229"/>
              <a:gd name="connsiteY87" fmla="*/ 1440542 h 1723571"/>
              <a:gd name="connsiteX88" fmla="*/ 1052286 w 2264229"/>
              <a:gd name="connsiteY88" fmla="*/ 1701800 h 1723571"/>
              <a:gd name="connsiteX89" fmla="*/ 986972 w 2264229"/>
              <a:gd name="connsiteY89" fmla="*/ 1607457 h 1723571"/>
              <a:gd name="connsiteX90" fmla="*/ 961572 w 2264229"/>
              <a:gd name="connsiteY90" fmla="*/ 1629228 h 1723571"/>
              <a:gd name="connsiteX91" fmla="*/ 936172 w 2264229"/>
              <a:gd name="connsiteY91" fmla="*/ 1618342 h 1723571"/>
              <a:gd name="connsiteX92" fmla="*/ 903515 w 2264229"/>
              <a:gd name="connsiteY92" fmla="*/ 1636485 h 1723571"/>
              <a:gd name="connsiteX93" fmla="*/ 881743 w 2264229"/>
              <a:gd name="connsiteY93" fmla="*/ 1614714 h 1723571"/>
              <a:gd name="connsiteX94" fmla="*/ 845458 w 2264229"/>
              <a:gd name="connsiteY94" fmla="*/ 1640114 h 1723571"/>
              <a:gd name="connsiteX95" fmla="*/ 841829 w 2264229"/>
              <a:gd name="connsiteY95" fmla="*/ 1680028 h 1723571"/>
              <a:gd name="connsiteX96" fmla="*/ 769258 w 2264229"/>
              <a:gd name="connsiteY96" fmla="*/ 1723571 h 1723571"/>
              <a:gd name="connsiteX97" fmla="*/ 743858 w 2264229"/>
              <a:gd name="connsiteY97" fmla="*/ 1698171 h 1723571"/>
              <a:gd name="connsiteX98" fmla="*/ 653143 w 2264229"/>
              <a:gd name="connsiteY98" fmla="*/ 1719942 h 1723571"/>
              <a:gd name="connsiteX99" fmla="*/ 580572 w 2264229"/>
              <a:gd name="connsiteY99" fmla="*/ 1680028 h 1723571"/>
              <a:gd name="connsiteX100" fmla="*/ 580572 w 2264229"/>
              <a:gd name="connsiteY100" fmla="*/ 1632857 h 1723571"/>
              <a:gd name="connsiteX101" fmla="*/ 624115 w 2264229"/>
              <a:gd name="connsiteY101" fmla="*/ 1589314 h 1723571"/>
              <a:gd name="connsiteX102" fmla="*/ 627743 w 2264229"/>
              <a:gd name="connsiteY102" fmla="*/ 1498600 h 1723571"/>
              <a:gd name="connsiteX103" fmla="*/ 605972 w 2264229"/>
              <a:gd name="connsiteY103" fmla="*/ 1480457 h 1723571"/>
              <a:gd name="connsiteX104" fmla="*/ 511629 w 2264229"/>
              <a:gd name="connsiteY104" fmla="*/ 1440542 h 1723571"/>
              <a:gd name="connsiteX105" fmla="*/ 424543 w 2264229"/>
              <a:gd name="connsiteY105" fmla="*/ 1284514 h 1723571"/>
              <a:gd name="connsiteX106" fmla="*/ 420915 w 2264229"/>
              <a:gd name="connsiteY106" fmla="*/ 1277257 h 1723571"/>
              <a:gd name="connsiteX107" fmla="*/ 344715 w 2264229"/>
              <a:gd name="connsiteY107" fmla="*/ 1349828 h 1723571"/>
              <a:gd name="connsiteX108" fmla="*/ 286658 w 2264229"/>
              <a:gd name="connsiteY108" fmla="*/ 1302657 h 1723571"/>
              <a:gd name="connsiteX109" fmla="*/ 254000 w 2264229"/>
              <a:gd name="connsiteY109" fmla="*/ 1324428 h 1723571"/>
              <a:gd name="connsiteX110" fmla="*/ 185058 w 2264229"/>
              <a:gd name="connsiteY110" fmla="*/ 1320800 h 1723571"/>
              <a:gd name="connsiteX111" fmla="*/ 101600 w 2264229"/>
              <a:gd name="connsiteY111"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55238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9633 w 2264229"/>
              <a:gd name="connsiteY50" fmla="*/ 406313 h 1723571"/>
              <a:gd name="connsiteX51" fmla="*/ 1556658 w 2264229"/>
              <a:gd name="connsiteY51" fmla="*/ 391885 h 1723571"/>
              <a:gd name="connsiteX52" fmla="*/ 1583907 w 2264229"/>
              <a:gd name="connsiteY52" fmla="*/ 312464 h 1723571"/>
              <a:gd name="connsiteX53" fmla="*/ 1705429 w 2264229"/>
              <a:gd name="connsiteY53" fmla="*/ 254000 h 1723571"/>
              <a:gd name="connsiteX54" fmla="*/ 1781629 w 2264229"/>
              <a:gd name="connsiteY54" fmla="*/ 315685 h 1723571"/>
              <a:gd name="connsiteX55" fmla="*/ 1850572 w 2264229"/>
              <a:gd name="connsiteY55" fmla="*/ 293914 h 1723571"/>
              <a:gd name="connsiteX56" fmla="*/ 1930400 w 2264229"/>
              <a:gd name="connsiteY56" fmla="*/ 337457 h 1723571"/>
              <a:gd name="connsiteX57" fmla="*/ 1970315 w 2264229"/>
              <a:gd name="connsiteY57" fmla="*/ 315685 h 1723571"/>
              <a:gd name="connsiteX58" fmla="*/ 2093686 w 2264229"/>
              <a:gd name="connsiteY58" fmla="*/ 402771 h 1723571"/>
              <a:gd name="connsiteX59" fmla="*/ 2111829 w 2264229"/>
              <a:gd name="connsiteY59" fmla="*/ 391885 h 1723571"/>
              <a:gd name="connsiteX60" fmla="*/ 2188029 w 2264229"/>
              <a:gd name="connsiteY60" fmla="*/ 446314 h 1723571"/>
              <a:gd name="connsiteX61" fmla="*/ 2198915 w 2264229"/>
              <a:gd name="connsiteY61" fmla="*/ 558800 h 1723571"/>
              <a:gd name="connsiteX62" fmla="*/ 2235200 w 2264229"/>
              <a:gd name="connsiteY62" fmla="*/ 558800 h 1723571"/>
              <a:gd name="connsiteX63" fmla="*/ 2264229 w 2264229"/>
              <a:gd name="connsiteY63" fmla="*/ 613228 h 1723571"/>
              <a:gd name="connsiteX64" fmla="*/ 2206172 w 2264229"/>
              <a:gd name="connsiteY64" fmla="*/ 620485 h 1723571"/>
              <a:gd name="connsiteX65" fmla="*/ 2151743 w 2264229"/>
              <a:gd name="connsiteY65" fmla="*/ 678542 h 1723571"/>
              <a:gd name="connsiteX66" fmla="*/ 2140858 w 2264229"/>
              <a:gd name="connsiteY66" fmla="*/ 725714 h 1723571"/>
              <a:gd name="connsiteX67" fmla="*/ 2198915 w 2264229"/>
              <a:gd name="connsiteY67" fmla="*/ 751114 h 1723571"/>
              <a:gd name="connsiteX68" fmla="*/ 2162629 w 2264229"/>
              <a:gd name="connsiteY68" fmla="*/ 783771 h 1723571"/>
              <a:gd name="connsiteX69" fmla="*/ 2166258 w 2264229"/>
              <a:gd name="connsiteY69" fmla="*/ 823685 h 1723571"/>
              <a:gd name="connsiteX70" fmla="*/ 2013858 w 2264229"/>
              <a:gd name="connsiteY70" fmla="*/ 1019628 h 1723571"/>
              <a:gd name="connsiteX71" fmla="*/ 1912258 w 2264229"/>
              <a:gd name="connsiteY71" fmla="*/ 1081314 h 1723571"/>
              <a:gd name="connsiteX72" fmla="*/ 1923143 w 2264229"/>
              <a:gd name="connsiteY72" fmla="*/ 1197428 h 1723571"/>
              <a:gd name="connsiteX73" fmla="*/ 1778000 w 2264229"/>
              <a:gd name="connsiteY73" fmla="*/ 1338942 h 1723571"/>
              <a:gd name="connsiteX74" fmla="*/ 1730829 w 2264229"/>
              <a:gd name="connsiteY74" fmla="*/ 1491342 h 1723571"/>
              <a:gd name="connsiteX75" fmla="*/ 1680029 w 2264229"/>
              <a:gd name="connsiteY75" fmla="*/ 1571171 h 1723571"/>
              <a:gd name="connsiteX76" fmla="*/ 1596572 w 2264229"/>
              <a:gd name="connsiteY76" fmla="*/ 1618342 h 1723571"/>
              <a:gd name="connsiteX77" fmla="*/ 1563915 w 2264229"/>
              <a:gd name="connsiteY77" fmla="*/ 1618342 h 1723571"/>
              <a:gd name="connsiteX78" fmla="*/ 1556658 w 2264229"/>
              <a:gd name="connsiteY78" fmla="*/ 1578428 h 1723571"/>
              <a:gd name="connsiteX79" fmla="*/ 1516743 w 2264229"/>
              <a:gd name="connsiteY79" fmla="*/ 1563914 h 1723571"/>
              <a:gd name="connsiteX80" fmla="*/ 1455058 w 2264229"/>
              <a:gd name="connsiteY80" fmla="*/ 1618342 h 1723571"/>
              <a:gd name="connsiteX81" fmla="*/ 1422400 w 2264229"/>
              <a:gd name="connsiteY81" fmla="*/ 1618342 h 1723571"/>
              <a:gd name="connsiteX82" fmla="*/ 1426029 w 2264229"/>
              <a:gd name="connsiteY82" fmla="*/ 1582057 h 1723571"/>
              <a:gd name="connsiteX83" fmla="*/ 1386115 w 2264229"/>
              <a:gd name="connsiteY83" fmla="*/ 1582057 h 1723571"/>
              <a:gd name="connsiteX84" fmla="*/ 1331686 w 2264229"/>
              <a:gd name="connsiteY84" fmla="*/ 1480457 h 1723571"/>
              <a:gd name="connsiteX85" fmla="*/ 1266372 w 2264229"/>
              <a:gd name="connsiteY85" fmla="*/ 1444171 h 1723571"/>
              <a:gd name="connsiteX86" fmla="*/ 1201058 w 2264229"/>
              <a:gd name="connsiteY86" fmla="*/ 1455057 h 1723571"/>
              <a:gd name="connsiteX87" fmla="*/ 1132115 w 2264229"/>
              <a:gd name="connsiteY87" fmla="*/ 1440542 h 1723571"/>
              <a:gd name="connsiteX88" fmla="*/ 1052286 w 2264229"/>
              <a:gd name="connsiteY88" fmla="*/ 1701800 h 1723571"/>
              <a:gd name="connsiteX89" fmla="*/ 986972 w 2264229"/>
              <a:gd name="connsiteY89" fmla="*/ 1607457 h 1723571"/>
              <a:gd name="connsiteX90" fmla="*/ 961572 w 2264229"/>
              <a:gd name="connsiteY90" fmla="*/ 1629228 h 1723571"/>
              <a:gd name="connsiteX91" fmla="*/ 936172 w 2264229"/>
              <a:gd name="connsiteY91" fmla="*/ 1618342 h 1723571"/>
              <a:gd name="connsiteX92" fmla="*/ 903515 w 2264229"/>
              <a:gd name="connsiteY92" fmla="*/ 1636485 h 1723571"/>
              <a:gd name="connsiteX93" fmla="*/ 881743 w 2264229"/>
              <a:gd name="connsiteY93" fmla="*/ 1614714 h 1723571"/>
              <a:gd name="connsiteX94" fmla="*/ 845458 w 2264229"/>
              <a:gd name="connsiteY94" fmla="*/ 1640114 h 1723571"/>
              <a:gd name="connsiteX95" fmla="*/ 841829 w 2264229"/>
              <a:gd name="connsiteY95" fmla="*/ 1680028 h 1723571"/>
              <a:gd name="connsiteX96" fmla="*/ 769258 w 2264229"/>
              <a:gd name="connsiteY96" fmla="*/ 1723571 h 1723571"/>
              <a:gd name="connsiteX97" fmla="*/ 743858 w 2264229"/>
              <a:gd name="connsiteY97" fmla="*/ 1698171 h 1723571"/>
              <a:gd name="connsiteX98" fmla="*/ 653143 w 2264229"/>
              <a:gd name="connsiteY98" fmla="*/ 1719942 h 1723571"/>
              <a:gd name="connsiteX99" fmla="*/ 580572 w 2264229"/>
              <a:gd name="connsiteY99" fmla="*/ 1680028 h 1723571"/>
              <a:gd name="connsiteX100" fmla="*/ 580572 w 2264229"/>
              <a:gd name="connsiteY100" fmla="*/ 1632857 h 1723571"/>
              <a:gd name="connsiteX101" fmla="*/ 624115 w 2264229"/>
              <a:gd name="connsiteY101" fmla="*/ 1589314 h 1723571"/>
              <a:gd name="connsiteX102" fmla="*/ 627743 w 2264229"/>
              <a:gd name="connsiteY102" fmla="*/ 1498600 h 1723571"/>
              <a:gd name="connsiteX103" fmla="*/ 605972 w 2264229"/>
              <a:gd name="connsiteY103" fmla="*/ 1480457 h 1723571"/>
              <a:gd name="connsiteX104" fmla="*/ 511629 w 2264229"/>
              <a:gd name="connsiteY104" fmla="*/ 1440542 h 1723571"/>
              <a:gd name="connsiteX105" fmla="*/ 424543 w 2264229"/>
              <a:gd name="connsiteY105" fmla="*/ 1284514 h 1723571"/>
              <a:gd name="connsiteX106" fmla="*/ 420915 w 2264229"/>
              <a:gd name="connsiteY106" fmla="*/ 1277257 h 1723571"/>
              <a:gd name="connsiteX107" fmla="*/ 344715 w 2264229"/>
              <a:gd name="connsiteY107" fmla="*/ 1349828 h 1723571"/>
              <a:gd name="connsiteX108" fmla="*/ 286658 w 2264229"/>
              <a:gd name="connsiteY108" fmla="*/ 1302657 h 1723571"/>
              <a:gd name="connsiteX109" fmla="*/ 254000 w 2264229"/>
              <a:gd name="connsiteY109" fmla="*/ 1324428 h 1723571"/>
              <a:gd name="connsiteX110" fmla="*/ 185058 w 2264229"/>
              <a:gd name="connsiteY110" fmla="*/ 1320800 h 1723571"/>
              <a:gd name="connsiteX111" fmla="*/ 101600 w 2264229"/>
              <a:gd name="connsiteY111"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35315 w 2264229"/>
              <a:gd name="connsiteY45" fmla="*/ 580571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9633 w 2264229"/>
              <a:gd name="connsiteY50" fmla="*/ 406313 h 1723571"/>
              <a:gd name="connsiteX51" fmla="*/ 1556658 w 2264229"/>
              <a:gd name="connsiteY51" fmla="*/ 391885 h 1723571"/>
              <a:gd name="connsiteX52" fmla="*/ 1583907 w 2264229"/>
              <a:gd name="connsiteY52" fmla="*/ 312464 h 1723571"/>
              <a:gd name="connsiteX53" fmla="*/ 1705429 w 2264229"/>
              <a:gd name="connsiteY53" fmla="*/ 254000 h 1723571"/>
              <a:gd name="connsiteX54" fmla="*/ 1781629 w 2264229"/>
              <a:gd name="connsiteY54" fmla="*/ 315685 h 1723571"/>
              <a:gd name="connsiteX55" fmla="*/ 1850572 w 2264229"/>
              <a:gd name="connsiteY55" fmla="*/ 293914 h 1723571"/>
              <a:gd name="connsiteX56" fmla="*/ 1930400 w 2264229"/>
              <a:gd name="connsiteY56" fmla="*/ 337457 h 1723571"/>
              <a:gd name="connsiteX57" fmla="*/ 1970315 w 2264229"/>
              <a:gd name="connsiteY57" fmla="*/ 315685 h 1723571"/>
              <a:gd name="connsiteX58" fmla="*/ 2093686 w 2264229"/>
              <a:gd name="connsiteY58" fmla="*/ 402771 h 1723571"/>
              <a:gd name="connsiteX59" fmla="*/ 2111829 w 2264229"/>
              <a:gd name="connsiteY59" fmla="*/ 391885 h 1723571"/>
              <a:gd name="connsiteX60" fmla="*/ 2188029 w 2264229"/>
              <a:gd name="connsiteY60" fmla="*/ 446314 h 1723571"/>
              <a:gd name="connsiteX61" fmla="*/ 2198915 w 2264229"/>
              <a:gd name="connsiteY61" fmla="*/ 558800 h 1723571"/>
              <a:gd name="connsiteX62" fmla="*/ 2235200 w 2264229"/>
              <a:gd name="connsiteY62" fmla="*/ 558800 h 1723571"/>
              <a:gd name="connsiteX63" fmla="*/ 2264229 w 2264229"/>
              <a:gd name="connsiteY63" fmla="*/ 613228 h 1723571"/>
              <a:gd name="connsiteX64" fmla="*/ 2206172 w 2264229"/>
              <a:gd name="connsiteY64" fmla="*/ 620485 h 1723571"/>
              <a:gd name="connsiteX65" fmla="*/ 2151743 w 2264229"/>
              <a:gd name="connsiteY65" fmla="*/ 678542 h 1723571"/>
              <a:gd name="connsiteX66" fmla="*/ 2140858 w 2264229"/>
              <a:gd name="connsiteY66" fmla="*/ 725714 h 1723571"/>
              <a:gd name="connsiteX67" fmla="*/ 2198915 w 2264229"/>
              <a:gd name="connsiteY67" fmla="*/ 751114 h 1723571"/>
              <a:gd name="connsiteX68" fmla="*/ 2162629 w 2264229"/>
              <a:gd name="connsiteY68" fmla="*/ 783771 h 1723571"/>
              <a:gd name="connsiteX69" fmla="*/ 2166258 w 2264229"/>
              <a:gd name="connsiteY69" fmla="*/ 823685 h 1723571"/>
              <a:gd name="connsiteX70" fmla="*/ 2013858 w 2264229"/>
              <a:gd name="connsiteY70" fmla="*/ 1019628 h 1723571"/>
              <a:gd name="connsiteX71" fmla="*/ 1912258 w 2264229"/>
              <a:gd name="connsiteY71" fmla="*/ 1081314 h 1723571"/>
              <a:gd name="connsiteX72" fmla="*/ 1923143 w 2264229"/>
              <a:gd name="connsiteY72" fmla="*/ 1197428 h 1723571"/>
              <a:gd name="connsiteX73" fmla="*/ 1778000 w 2264229"/>
              <a:gd name="connsiteY73" fmla="*/ 1338942 h 1723571"/>
              <a:gd name="connsiteX74" fmla="*/ 1730829 w 2264229"/>
              <a:gd name="connsiteY74" fmla="*/ 1491342 h 1723571"/>
              <a:gd name="connsiteX75" fmla="*/ 1680029 w 2264229"/>
              <a:gd name="connsiteY75" fmla="*/ 1571171 h 1723571"/>
              <a:gd name="connsiteX76" fmla="*/ 1596572 w 2264229"/>
              <a:gd name="connsiteY76" fmla="*/ 1618342 h 1723571"/>
              <a:gd name="connsiteX77" fmla="*/ 1563915 w 2264229"/>
              <a:gd name="connsiteY77" fmla="*/ 1618342 h 1723571"/>
              <a:gd name="connsiteX78" fmla="*/ 1556658 w 2264229"/>
              <a:gd name="connsiteY78" fmla="*/ 1578428 h 1723571"/>
              <a:gd name="connsiteX79" fmla="*/ 1516743 w 2264229"/>
              <a:gd name="connsiteY79" fmla="*/ 1563914 h 1723571"/>
              <a:gd name="connsiteX80" fmla="*/ 1455058 w 2264229"/>
              <a:gd name="connsiteY80" fmla="*/ 1618342 h 1723571"/>
              <a:gd name="connsiteX81" fmla="*/ 1422400 w 2264229"/>
              <a:gd name="connsiteY81" fmla="*/ 1618342 h 1723571"/>
              <a:gd name="connsiteX82" fmla="*/ 1426029 w 2264229"/>
              <a:gd name="connsiteY82" fmla="*/ 1582057 h 1723571"/>
              <a:gd name="connsiteX83" fmla="*/ 1386115 w 2264229"/>
              <a:gd name="connsiteY83" fmla="*/ 1582057 h 1723571"/>
              <a:gd name="connsiteX84" fmla="*/ 1331686 w 2264229"/>
              <a:gd name="connsiteY84" fmla="*/ 1480457 h 1723571"/>
              <a:gd name="connsiteX85" fmla="*/ 1266372 w 2264229"/>
              <a:gd name="connsiteY85" fmla="*/ 1444171 h 1723571"/>
              <a:gd name="connsiteX86" fmla="*/ 1201058 w 2264229"/>
              <a:gd name="connsiteY86" fmla="*/ 1455057 h 1723571"/>
              <a:gd name="connsiteX87" fmla="*/ 1132115 w 2264229"/>
              <a:gd name="connsiteY87" fmla="*/ 1440542 h 1723571"/>
              <a:gd name="connsiteX88" fmla="*/ 1052286 w 2264229"/>
              <a:gd name="connsiteY88" fmla="*/ 1701800 h 1723571"/>
              <a:gd name="connsiteX89" fmla="*/ 986972 w 2264229"/>
              <a:gd name="connsiteY89" fmla="*/ 1607457 h 1723571"/>
              <a:gd name="connsiteX90" fmla="*/ 961572 w 2264229"/>
              <a:gd name="connsiteY90" fmla="*/ 1629228 h 1723571"/>
              <a:gd name="connsiteX91" fmla="*/ 936172 w 2264229"/>
              <a:gd name="connsiteY91" fmla="*/ 1618342 h 1723571"/>
              <a:gd name="connsiteX92" fmla="*/ 903515 w 2264229"/>
              <a:gd name="connsiteY92" fmla="*/ 1636485 h 1723571"/>
              <a:gd name="connsiteX93" fmla="*/ 881743 w 2264229"/>
              <a:gd name="connsiteY93" fmla="*/ 1614714 h 1723571"/>
              <a:gd name="connsiteX94" fmla="*/ 845458 w 2264229"/>
              <a:gd name="connsiteY94" fmla="*/ 1640114 h 1723571"/>
              <a:gd name="connsiteX95" fmla="*/ 841829 w 2264229"/>
              <a:gd name="connsiteY95" fmla="*/ 1680028 h 1723571"/>
              <a:gd name="connsiteX96" fmla="*/ 769258 w 2264229"/>
              <a:gd name="connsiteY96" fmla="*/ 1723571 h 1723571"/>
              <a:gd name="connsiteX97" fmla="*/ 743858 w 2264229"/>
              <a:gd name="connsiteY97" fmla="*/ 1698171 h 1723571"/>
              <a:gd name="connsiteX98" fmla="*/ 653143 w 2264229"/>
              <a:gd name="connsiteY98" fmla="*/ 1719942 h 1723571"/>
              <a:gd name="connsiteX99" fmla="*/ 580572 w 2264229"/>
              <a:gd name="connsiteY99" fmla="*/ 1680028 h 1723571"/>
              <a:gd name="connsiteX100" fmla="*/ 580572 w 2264229"/>
              <a:gd name="connsiteY100" fmla="*/ 1632857 h 1723571"/>
              <a:gd name="connsiteX101" fmla="*/ 624115 w 2264229"/>
              <a:gd name="connsiteY101" fmla="*/ 1589314 h 1723571"/>
              <a:gd name="connsiteX102" fmla="*/ 627743 w 2264229"/>
              <a:gd name="connsiteY102" fmla="*/ 1498600 h 1723571"/>
              <a:gd name="connsiteX103" fmla="*/ 605972 w 2264229"/>
              <a:gd name="connsiteY103" fmla="*/ 1480457 h 1723571"/>
              <a:gd name="connsiteX104" fmla="*/ 511629 w 2264229"/>
              <a:gd name="connsiteY104" fmla="*/ 1440542 h 1723571"/>
              <a:gd name="connsiteX105" fmla="*/ 424543 w 2264229"/>
              <a:gd name="connsiteY105" fmla="*/ 1284514 h 1723571"/>
              <a:gd name="connsiteX106" fmla="*/ 420915 w 2264229"/>
              <a:gd name="connsiteY106" fmla="*/ 1277257 h 1723571"/>
              <a:gd name="connsiteX107" fmla="*/ 344715 w 2264229"/>
              <a:gd name="connsiteY107" fmla="*/ 1349828 h 1723571"/>
              <a:gd name="connsiteX108" fmla="*/ 286658 w 2264229"/>
              <a:gd name="connsiteY108" fmla="*/ 1302657 h 1723571"/>
              <a:gd name="connsiteX109" fmla="*/ 254000 w 2264229"/>
              <a:gd name="connsiteY109" fmla="*/ 1324428 h 1723571"/>
              <a:gd name="connsiteX110" fmla="*/ 185058 w 2264229"/>
              <a:gd name="connsiteY110" fmla="*/ 1320800 h 1723571"/>
              <a:gd name="connsiteX111" fmla="*/ 101600 w 2264229"/>
              <a:gd name="connsiteY111"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9633 w 2264229"/>
              <a:gd name="connsiteY50" fmla="*/ 406313 h 1723571"/>
              <a:gd name="connsiteX51" fmla="*/ 1556658 w 2264229"/>
              <a:gd name="connsiteY51" fmla="*/ 391885 h 1723571"/>
              <a:gd name="connsiteX52" fmla="*/ 1583907 w 2264229"/>
              <a:gd name="connsiteY52" fmla="*/ 312464 h 1723571"/>
              <a:gd name="connsiteX53" fmla="*/ 1705429 w 2264229"/>
              <a:gd name="connsiteY53" fmla="*/ 254000 h 1723571"/>
              <a:gd name="connsiteX54" fmla="*/ 1781629 w 2264229"/>
              <a:gd name="connsiteY54" fmla="*/ 315685 h 1723571"/>
              <a:gd name="connsiteX55" fmla="*/ 1850572 w 2264229"/>
              <a:gd name="connsiteY55" fmla="*/ 293914 h 1723571"/>
              <a:gd name="connsiteX56" fmla="*/ 1930400 w 2264229"/>
              <a:gd name="connsiteY56" fmla="*/ 337457 h 1723571"/>
              <a:gd name="connsiteX57" fmla="*/ 1970315 w 2264229"/>
              <a:gd name="connsiteY57" fmla="*/ 315685 h 1723571"/>
              <a:gd name="connsiteX58" fmla="*/ 2093686 w 2264229"/>
              <a:gd name="connsiteY58" fmla="*/ 402771 h 1723571"/>
              <a:gd name="connsiteX59" fmla="*/ 2111829 w 2264229"/>
              <a:gd name="connsiteY59" fmla="*/ 391885 h 1723571"/>
              <a:gd name="connsiteX60" fmla="*/ 2188029 w 2264229"/>
              <a:gd name="connsiteY60" fmla="*/ 446314 h 1723571"/>
              <a:gd name="connsiteX61" fmla="*/ 2198915 w 2264229"/>
              <a:gd name="connsiteY61" fmla="*/ 558800 h 1723571"/>
              <a:gd name="connsiteX62" fmla="*/ 2235200 w 2264229"/>
              <a:gd name="connsiteY62" fmla="*/ 558800 h 1723571"/>
              <a:gd name="connsiteX63" fmla="*/ 2264229 w 2264229"/>
              <a:gd name="connsiteY63" fmla="*/ 613228 h 1723571"/>
              <a:gd name="connsiteX64" fmla="*/ 2206172 w 2264229"/>
              <a:gd name="connsiteY64" fmla="*/ 620485 h 1723571"/>
              <a:gd name="connsiteX65" fmla="*/ 2151743 w 2264229"/>
              <a:gd name="connsiteY65" fmla="*/ 678542 h 1723571"/>
              <a:gd name="connsiteX66" fmla="*/ 2140858 w 2264229"/>
              <a:gd name="connsiteY66" fmla="*/ 725714 h 1723571"/>
              <a:gd name="connsiteX67" fmla="*/ 2198915 w 2264229"/>
              <a:gd name="connsiteY67" fmla="*/ 751114 h 1723571"/>
              <a:gd name="connsiteX68" fmla="*/ 2162629 w 2264229"/>
              <a:gd name="connsiteY68" fmla="*/ 783771 h 1723571"/>
              <a:gd name="connsiteX69" fmla="*/ 2166258 w 2264229"/>
              <a:gd name="connsiteY69" fmla="*/ 823685 h 1723571"/>
              <a:gd name="connsiteX70" fmla="*/ 2013858 w 2264229"/>
              <a:gd name="connsiteY70" fmla="*/ 1019628 h 1723571"/>
              <a:gd name="connsiteX71" fmla="*/ 1912258 w 2264229"/>
              <a:gd name="connsiteY71" fmla="*/ 1081314 h 1723571"/>
              <a:gd name="connsiteX72" fmla="*/ 1923143 w 2264229"/>
              <a:gd name="connsiteY72" fmla="*/ 1197428 h 1723571"/>
              <a:gd name="connsiteX73" fmla="*/ 1778000 w 2264229"/>
              <a:gd name="connsiteY73" fmla="*/ 1338942 h 1723571"/>
              <a:gd name="connsiteX74" fmla="*/ 1730829 w 2264229"/>
              <a:gd name="connsiteY74" fmla="*/ 1491342 h 1723571"/>
              <a:gd name="connsiteX75" fmla="*/ 1680029 w 2264229"/>
              <a:gd name="connsiteY75" fmla="*/ 1571171 h 1723571"/>
              <a:gd name="connsiteX76" fmla="*/ 1596572 w 2264229"/>
              <a:gd name="connsiteY76" fmla="*/ 1618342 h 1723571"/>
              <a:gd name="connsiteX77" fmla="*/ 1563915 w 2264229"/>
              <a:gd name="connsiteY77" fmla="*/ 1618342 h 1723571"/>
              <a:gd name="connsiteX78" fmla="*/ 1556658 w 2264229"/>
              <a:gd name="connsiteY78" fmla="*/ 1578428 h 1723571"/>
              <a:gd name="connsiteX79" fmla="*/ 1516743 w 2264229"/>
              <a:gd name="connsiteY79" fmla="*/ 1563914 h 1723571"/>
              <a:gd name="connsiteX80" fmla="*/ 1455058 w 2264229"/>
              <a:gd name="connsiteY80" fmla="*/ 1618342 h 1723571"/>
              <a:gd name="connsiteX81" fmla="*/ 1422400 w 2264229"/>
              <a:gd name="connsiteY81" fmla="*/ 1618342 h 1723571"/>
              <a:gd name="connsiteX82" fmla="*/ 1426029 w 2264229"/>
              <a:gd name="connsiteY82" fmla="*/ 1582057 h 1723571"/>
              <a:gd name="connsiteX83" fmla="*/ 1386115 w 2264229"/>
              <a:gd name="connsiteY83" fmla="*/ 1582057 h 1723571"/>
              <a:gd name="connsiteX84" fmla="*/ 1331686 w 2264229"/>
              <a:gd name="connsiteY84" fmla="*/ 1480457 h 1723571"/>
              <a:gd name="connsiteX85" fmla="*/ 1266372 w 2264229"/>
              <a:gd name="connsiteY85" fmla="*/ 1444171 h 1723571"/>
              <a:gd name="connsiteX86" fmla="*/ 1201058 w 2264229"/>
              <a:gd name="connsiteY86" fmla="*/ 1455057 h 1723571"/>
              <a:gd name="connsiteX87" fmla="*/ 1132115 w 2264229"/>
              <a:gd name="connsiteY87" fmla="*/ 1440542 h 1723571"/>
              <a:gd name="connsiteX88" fmla="*/ 1052286 w 2264229"/>
              <a:gd name="connsiteY88" fmla="*/ 1701800 h 1723571"/>
              <a:gd name="connsiteX89" fmla="*/ 986972 w 2264229"/>
              <a:gd name="connsiteY89" fmla="*/ 1607457 h 1723571"/>
              <a:gd name="connsiteX90" fmla="*/ 961572 w 2264229"/>
              <a:gd name="connsiteY90" fmla="*/ 1629228 h 1723571"/>
              <a:gd name="connsiteX91" fmla="*/ 936172 w 2264229"/>
              <a:gd name="connsiteY91" fmla="*/ 1618342 h 1723571"/>
              <a:gd name="connsiteX92" fmla="*/ 903515 w 2264229"/>
              <a:gd name="connsiteY92" fmla="*/ 1636485 h 1723571"/>
              <a:gd name="connsiteX93" fmla="*/ 881743 w 2264229"/>
              <a:gd name="connsiteY93" fmla="*/ 1614714 h 1723571"/>
              <a:gd name="connsiteX94" fmla="*/ 845458 w 2264229"/>
              <a:gd name="connsiteY94" fmla="*/ 1640114 h 1723571"/>
              <a:gd name="connsiteX95" fmla="*/ 841829 w 2264229"/>
              <a:gd name="connsiteY95" fmla="*/ 1680028 h 1723571"/>
              <a:gd name="connsiteX96" fmla="*/ 769258 w 2264229"/>
              <a:gd name="connsiteY96" fmla="*/ 1723571 h 1723571"/>
              <a:gd name="connsiteX97" fmla="*/ 743858 w 2264229"/>
              <a:gd name="connsiteY97" fmla="*/ 1698171 h 1723571"/>
              <a:gd name="connsiteX98" fmla="*/ 653143 w 2264229"/>
              <a:gd name="connsiteY98" fmla="*/ 1719942 h 1723571"/>
              <a:gd name="connsiteX99" fmla="*/ 580572 w 2264229"/>
              <a:gd name="connsiteY99" fmla="*/ 1680028 h 1723571"/>
              <a:gd name="connsiteX100" fmla="*/ 580572 w 2264229"/>
              <a:gd name="connsiteY100" fmla="*/ 1632857 h 1723571"/>
              <a:gd name="connsiteX101" fmla="*/ 624115 w 2264229"/>
              <a:gd name="connsiteY101" fmla="*/ 1589314 h 1723571"/>
              <a:gd name="connsiteX102" fmla="*/ 627743 w 2264229"/>
              <a:gd name="connsiteY102" fmla="*/ 1498600 h 1723571"/>
              <a:gd name="connsiteX103" fmla="*/ 605972 w 2264229"/>
              <a:gd name="connsiteY103" fmla="*/ 1480457 h 1723571"/>
              <a:gd name="connsiteX104" fmla="*/ 511629 w 2264229"/>
              <a:gd name="connsiteY104" fmla="*/ 1440542 h 1723571"/>
              <a:gd name="connsiteX105" fmla="*/ 424543 w 2264229"/>
              <a:gd name="connsiteY105" fmla="*/ 1284514 h 1723571"/>
              <a:gd name="connsiteX106" fmla="*/ 420915 w 2264229"/>
              <a:gd name="connsiteY106" fmla="*/ 1277257 h 1723571"/>
              <a:gd name="connsiteX107" fmla="*/ 344715 w 2264229"/>
              <a:gd name="connsiteY107" fmla="*/ 1349828 h 1723571"/>
              <a:gd name="connsiteX108" fmla="*/ 286658 w 2264229"/>
              <a:gd name="connsiteY108" fmla="*/ 1302657 h 1723571"/>
              <a:gd name="connsiteX109" fmla="*/ 254000 w 2264229"/>
              <a:gd name="connsiteY109" fmla="*/ 1324428 h 1723571"/>
              <a:gd name="connsiteX110" fmla="*/ 185058 w 2264229"/>
              <a:gd name="connsiteY110" fmla="*/ 1320800 h 1723571"/>
              <a:gd name="connsiteX111" fmla="*/ 101600 w 2264229"/>
              <a:gd name="connsiteY111"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500993 w 2264229"/>
              <a:gd name="connsiteY50" fmla="*/ 438743 h 1723571"/>
              <a:gd name="connsiteX51" fmla="*/ 1489633 w 2264229"/>
              <a:gd name="connsiteY51" fmla="*/ 406313 h 1723571"/>
              <a:gd name="connsiteX52" fmla="*/ 1556658 w 2264229"/>
              <a:gd name="connsiteY52" fmla="*/ 391885 h 1723571"/>
              <a:gd name="connsiteX53" fmla="*/ 1583907 w 2264229"/>
              <a:gd name="connsiteY53" fmla="*/ 312464 h 1723571"/>
              <a:gd name="connsiteX54" fmla="*/ 1705429 w 2264229"/>
              <a:gd name="connsiteY54" fmla="*/ 254000 h 1723571"/>
              <a:gd name="connsiteX55" fmla="*/ 1781629 w 2264229"/>
              <a:gd name="connsiteY55" fmla="*/ 315685 h 1723571"/>
              <a:gd name="connsiteX56" fmla="*/ 1850572 w 2264229"/>
              <a:gd name="connsiteY56" fmla="*/ 293914 h 1723571"/>
              <a:gd name="connsiteX57" fmla="*/ 1930400 w 2264229"/>
              <a:gd name="connsiteY57" fmla="*/ 337457 h 1723571"/>
              <a:gd name="connsiteX58" fmla="*/ 1970315 w 2264229"/>
              <a:gd name="connsiteY58" fmla="*/ 315685 h 1723571"/>
              <a:gd name="connsiteX59" fmla="*/ 2093686 w 2264229"/>
              <a:gd name="connsiteY59" fmla="*/ 402771 h 1723571"/>
              <a:gd name="connsiteX60" fmla="*/ 2111829 w 2264229"/>
              <a:gd name="connsiteY60" fmla="*/ 391885 h 1723571"/>
              <a:gd name="connsiteX61" fmla="*/ 2188029 w 2264229"/>
              <a:gd name="connsiteY61" fmla="*/ 446314 h 1723571"/>
              <a:gd name="connsiteX62" fmla="*/ 2198915 w 2264229"/>
              <a:gd name="connsiteY62" fmla="*/ 558800 h 1723571"/>
              <a:gd name="connsiteX63" fmla="*/ 2235200 w 2264229"/>
              <a:gd name="connsiteY63" fmla="*/ 558800 h 1723571"/>
              <a:gd name="connsiteX64" fmla="*/ 2264229 w 2264229"/>
              <a:gd name="connsiteY64" fmla="*/ 613228 h 1723571"/>
              <a:gd name="connsiteX65" fmla="*/ 2206172 w 2264229"/>
              <a:gd name="connsiteY65" fmla="*/ 620485 h 1723571"/>
              <a:gd name="connsiteX66" fmla="*/ 2151743 w 2264229"/>
              <a:gd name="connsiteY66" fmla="*/ 678542 h 1723571"/>
              <a:gd name="connsiteX67" fmla="*/ 2140858 w 2264229"/>
              <a:gd name="connsiteY67" fmla="*/ 725714 h 1723571"/>
              <a:gd name="connsiteX68" fmla="*/ 2198915 w 2264229"/>
              <a:gd name="connsiteY68" fmla="*/ 751114 h 1723571"/>
              <a:gd name="connsiteX69" fmla="*/ 2162629 w 2264229"/>
              <a:gd name="connsiteY69" fmla="*/ 783771 h 1723571"/>
              <a:gd name="connsiteX70" fmla="*/ 2166258 w 2264229"/>
              <a:gd name="connsiteY70" fmla="*/ 823685 h 1723571"/>
              <a:gd name="connsiteX71" fmla="*/ 2013858 w 2264229"/>
              <a:gd name="connsiteY71" fmla="*/ 1019628 h 1723571"/>
              <a:gd name="connsiteX72" fmla="*/ 1912258 w 2264229"/>
              <a:gd name="connsiteY72" fmla="*/ 1081314 h 1723571"/>
              <a:gd name="connsiteX73" fmla="*/ 1923143 w 2264229"/>
              <a:gd name="connsiteY73" fmla="*/ 1197428 h 1723571"/>
              <a:gd name="connsiteX74" fmla="*/ 1778000 w 2264229"/>
              <a:gd name="connsiteY74" fmla="*/ 1338942 h 1723571"/>
              <a:gd name="connsiteX75" fmla="*/ 1730829 w 2264229"/>
              <a:gd name="connsiteY75" fmla="*/ 1491342 h 1723571"/>
              <a:gd name="connsiteX76" fmla="*/ 1680029 w 2264229"/>
              <a:gd name="connsiteY76" fmla="*/ 1571171 h 1723571"/>
              <a:gd name="connsiteX77" fmla="*/ 1596572 w 2264229"/>
              <a:gd name="connsiteY77" fmla="*/ 1618342 h 1723571"/>
              <a:gd name="connsiteX78" fmla="*/ 1563915 w 2264229"/>
              <a:gd name="connsiteY78" fmla="*/ 1618342 h 1723571"/>
              <a:gd name="connsiteX79" fmla="*/ 1556658 w 2264229"/>
              <a:gd name="connsiteY79" fmla="*/ 1578428 h 1723571"/>
              <a:gd name="connsiteX80" fmla="*/ 1516743 w 2264229"/>
              <a:gd name="connsiteY80" fmla="*/ 1563914 h 1723571"/>
              <a:gd name="connsiteX81" fmla="*/ 1455058 w 2264229"/>
              <a:gd name="connsiteY81" fmla="*/ 1618342 h 1723571"/>
              <a:gd name="connsiteX82" fmla="*/ 1422400 w 2264229"/>
              <a:gd name="connsiteY82" fmla="*/ 1618342 h 1723571"/>
              <a:gd name="connsiteX83" fmla="*/ 1426029 w 2264229"/>
              <a:gd name="connsiteY83" fmla="*/ 1582057 h 1723571"/>
              <a:gd name="connsiteX84" fmla="*/ 1386115 w 2264229"/>
              <a:gd name="connsiteY84" fmla="*/ 1582057 h 1723571"/>
              <a:gd name="connsiteX85" fmla="*/ 1331686 w 2264229"/>
              <a:gd name="connsiteY85" fmla="*/ 1480457 h 1723571"/>
              <a:gd name="connsiteX86" fmla="*/ 1266372 w 2264229"/>
              <a:gd name="connsiteY86" fmla="*/ 1444171 h 1723571"/>
              <a:gd name="connsiteX87" fmla="*/ 1201058 w 2264229"/>
              <a:gd name="connsiteY87" fmla="*/ 1455057 h 1723571"/>
              <a:gd name="connsiteX88" fmla="*/ 1132115 w 2264229"/>
              <a:gd name="connsiteY88" fmla="*/ 1440542 h 1723571"/>
              <a:gd name="connsiteX89" fmla="*/ 1052286 w 2264229"/>
              <a:gd name="connsiteY89" fmla="*/ 1701800 h 1723571"/>
              <a:gd name="connsiteX90" fmla="*/ 986972 w 2264229"/>
              <a:gd name="connsiteY90" fmla="*/ 1607457 h 1723571"/>
              <a:gd name="connsiteX91" fmla="*/ 961572 w 2264229"/>
              <a:gd name="connsiteY91" fmla="*/ 1629228 h 1723571"/>
              <a:gd name="connsiteX92" fmla="*/ 936172 w 2264229"/>
              <a:gd name="connsiteY92" fmla="*/ 1618342 h 1723571"/>
              <a:gd name="connsiteX93" fmla="*/ 903515 w 2264229"/>
              <a:gd name="connsiteY93" fmla="*/ 1636485 h 1723571"/>
              <a:gd name="connsiteX94" fmla="*/ 881743 w 2264229"/>
              <a:gd name="connsiteY94" fmla="*/ 1614714 h 1723571"/>
              <a:gd name="connsiteX95" fmla="*/ 845458 w 2264229"/>
              <a:gd name="connsiteY95" fmla="*/ 1640114 h 1723571"/>
              <a:gd name="connsiteX96" fmla="*/ 841829 w 2264229"/>
              <a:gd name="connsiteY96" fmla="*/ 1680028 h 1723571"/>
              <a:gd name="connsiteX97" fmla="*/ 769258 w 2264229"/>
              <a:gd name="connsiteY97" fmla="*/ 1723571 h 1723571"/>
              <a:gd name="connsiteX98" fmla="*/ 743858 w 2264229"/>
              <a:gd name="connsiteY98" fmla="*/ 1698171 h 1723571"/>
              <a:gd name="connsiteX99" fmla="*/ 653143 w 2264229"/>
              <a:gd name="connsiteY99" fmla="*/ 1719942 h 1723571"/>
              <a:gd name="connsiteX100" fmla="*/ 580572 w 2264229"/>
              <a:gd name="connsiteY100" fmla="*/ 1680028 h 1723571"/>
              <a:gd name="connsiteX101" fmla="*/ 580572 w 2264229"/>
              <a:gd name="connsiteY101" fmla="*/ 1632857 h 1723571"/>
              <a:gd name="connsiteX102" fmla="*/ 624115 w 2264229"/>
              <a:gd name="connsiteY102" fmla="*/ 1589314 h 1723571"/>
              <a:gd name="connsiteX103" fmla="*/ 627743 w 2264229"/>
              <a:gd name="connsiteY103" fmla="*/ 1498600 h 1723571"/>
              <a:gd name="connsiteX104" fmla="*/ 605972 w 2264229"/>
              <a:gd name="connsiteY104" fmla="*/ 1480457 h 1723571"/>
              <a:gd name="connsiteX105" fmla="*/ 511629 w 2264229"/>
              <a:gd name="connsiteY105" fmla="*/ 1440542 h 1723571"/>
              <a:gd name="connsiteX106" fmla="*/ 424543 w 2264229"/>
              <a:gd name="connsiteY106" fmla="*/ 1284514 h 1723571"/>
              <a:gd name="connsiteX107" fmla="*/ 420915 w 2264229"/>
              <a:gd name="connsiteY107" fmla="*/ 1277257 h 1723571"/>
              <a:gd name="connsiteX108" fmla="*/ 344715 w 2264229"/>
              <a:gd name="connsiteY108" fmla="*/ 1349828 h 1723571"/>
              <a:gd name="connsiteX109" fmla="*/ 286658 w 2264229"/>
              <a:gd name="connsiteY109" fmla="*/ 1302657 h 1723571"/>
              <a:gd name="connsiteX110" fmla="*/ 254000 w 2264229"/>
              <a:gd name="connsiteY110" fmla="*/ 1324428 h 1723571"/>
              <a:gd name="connsiteX111" fmla="*/ 185058 w 2264229"/>
              <a:gd name="connsiteY111" fmla="*/ 1320800 h 1723571"/>
              <a:gd name="connsiteX112" fmla="*/ 101600 w 2264229"/>
              <a:gd name="connsiteY112"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489633 w 2264229"/>
              <a:gd name="connsiteY51" fmla="*/ 406313 h 1723571"/>
              <a:gd name="connsiteX52" fmla="*/ 1556658 w 2264229"/>
              <a:gd name="connsiteY52" fmla="*/ 391885 h 1723571"/>
              <a:gd name="connsiteX53" fmla="*/ 1583907 w 2264229"/>
              <a:gd name="connsiteY53" fmla="*/ 312464 h 1723571"/>
              <a:gd name="connsiteX54" fmla="*/ 1705429 w 2264229"/>
              <a:gd name="connsiteY54" fmla="*/ 254000 h 1723571"/>
              <a:gd name="connsiteX55" fmla="*/ 1781629 w 2264229"/>
              <a:gd name="connsiteY55" fmla="*/ 315685 h 1723571"/>
              <a:gd name="connsiteX56" fmla="*/ 1850572 w 2264229"/>
              <a:gd name="connsiteY56" fmla="*/ 293914 h 1723571"/>
              <a:gd name="connsiteX57" fmla="*/ 1930400 w 2264229"/>
              <a:gd name="connsiteY57" fmla="*/ 337457 h 1723571"/>
              <a:gd name="connsiteX58" fmla="*/ 1970315 w 2264229"/>
              <a:gd name="connsiteY58" fmla="*/ 315685 h 1723571"/>
              <a:gd name="connsiteX59" fmla="*/ 2093686 w 2264229"/>
              <a:gd name="connsiteY59" fmla="*/ 402771 h 1723571"/>
              <a:gd name="connsiteX60" fmla="*/ 2111829 w 2264229"/>
              <a:gd name="connsiteY60" fmla="*/ 391885 h 1723571"/>
              <a:gd name="connsiteX61" fmla="*/ 2188029 w 2264229"/>
              <a:gd name="connsiteY61" fmla="*/ 446314 h 1723571"/>
              <a:gd name="connsiteX62" fmla="*/ 2198915 w 2264229"/>
              <a:gd name="connsiteY62" fmla="*/ 558800 h 1723571"/>
              <a:gd name="connsiteX63" fmla="*/ 2235200 w 2264229"/>
              <a:gd name="connsiteY63" fmla="*/ 558800 h 1723571"/>
              <a:gd name="connsiteX64" fmla="*/ 2264229 w 2264229"/>
              <a:gd name="connsiteY64" fmla="*/ 613228 h 1723571"/>
              <a:gd name="connsiteX65" fmla="*/ 2206172 w 2264229"/>
              <a:gd name="connsiteY65" fmla="*/ 620485 h 1723571"/>
              <a:gd name="connsiteX66" fmla="*/ 2151743 w 2264229"/>
              <a:gd name="connsiteY66" fmla="*/ 678542 h 1723571"/>
              <a:gd name="connsiteX67" fmla="*/ 2140858 w 2264229"/>
              <a:gd name="connsiteY67" fmla="*/ 725714 h 1723571"/>
              <a:gd name="connsiteX68" fmla="*/ 2198915 w 2264229"/>
              <a:gd name="connsiteY68" fmla="*/ 751114 h 1723571"/>
              <a:gd name="connsiteX69" fmla="*/ 2162629 w 2264229"/>
              <a:gd name="connsiteY69" fmla="*/ 783771 h 1723571"/>
              <a:gd name="connsiteX70" fmla="*/ 2166258 w 2264229"/>
              <a:gd name="connsiteY70" fmla="*/ 823685 h 1723571"/>
              <a:gd name="connsiteX71" fmla="*/ 2013858 w 2264229"/>
              <a:gd name="connsiteY71" fmla="*/ 1019628 h 1723571"/>
              <a:gd name="connsiteX72" fmla="*/ 1912258 w 2264229"/>
              <a:gd name="connsiteY72" fmla="*/ 1081314 h 1723571"/>
              <a:gd name="connsiteX73" fmla="*/ 1923143 w 2264229"/>
              <a:gd name="connsiteY73" fmla="*/ 1197428 h 1723571"/>
              <a:gd name="connsiteX74" fmla="*/ 1778000 w 2264229"/>
              <a:gd name="connsiteY74" fmla="*/ 1338942 h 1723571"/>
              <a:gd name="connsiteX75" fmla="*/ 1730829 w 2264229"/>
              <a:gd name="connsiteY75" fmla="*/ 1491342 h 1723571"/>
              <a:gd name="connsiteX76" fmla="*/ 1680029 w 2264229"/>
              <a:gd name="connsiteY76" fmla="*/ 1571171 h 1723571"/>
              <a:gd name="connsiteX77" fmla="*/ 1596572 w 2264229"/>
              <a:gd name="connsiteY77" fmla="*/ 1618342 h 1723571"/>
              <a:gd name="connsiteX78" fmla="*/ 1563915 w 2264229"/>
              <a:gd name="connsiteY78" fmla="*/ 1618342 h 1723571"/>
              <a:gd name="connsiteX79" fmla="*/ 1556658 w 2264229"/>
              <a:gd name="connsiteY79" fmla="*/ 1578428 h 1723571"/>
              <a:gd name="connsiteX80" fmla="*/ 1516743 w 2264229"/>
              <a:gd name="connsiteY80" fmla="*/ 1563914 h 1723571"/>
              <a:gd name="connsiteX81" fmla="*/ 1455058 w 2264229"/>
              <a:gd name="connsiteY81" fmla="*/ 1618342 h 1723571"/>
              <a:gd name="connsiteX82" fmla="*/ 1422400 w 2264229"/>
              <a:gd name="connsiteY82" fmla="*/ 1618342 h 1723571"/>
              <a:gd name="connsiteX83" fmla="*/ 1426029 w 2264229"/>
              <a:gd name="connsiteY83" fmla="*/ 1582057 h 1723571"/>
              <a:gd name="connsiteX84" fmla="*/ 1386115 w 2264229"/>
              <a:gd name="connsiteY84" fmla="*/ 1582057 h 1723571"/>
              <a:gd name="connsiteX85" fmla="*/ 1331686 w 2264229"/>
              <a:gd name="connsiteY85" fmla="*/ 1480457 h 1723571"/>
              <a:gd name="connsiteX86" fmla="*/ 1266372 w 2264229"/>
              <a:gd name="connsiteY86" fmla="*/ 1444171 h 1723571"/>
              <a:gd name="connsiteX87" fmla="*/ 1201058 w 2264229"/>
              <a:gd name="connsiteY87" fmla="*/ 1455057 h 1723571"/>
              <a:gd name="connsiteX88" fmla="*/ 1132115 w 2264229"/>
              <a:gd name="connsiteY88" fmla="*/ 1440542 h 1723571"/>
              <a:gd name="connsiteX89" fmla="*/ 1052286 w 2264229"/>
              <a:gd name="connsiteY89" fmla="*/ 1701800 h 1723571"/>
              <a:gd name="connsiteX90" fmla="*/ 986972 w 2264229"/>
              <a:gd name="connsiteY90" fmla="*/ 1607457 h 1723571"/>
              <a:gd name="connsiteX91" fmla="*/ 961572 w 2264229"/>
              <a:gd name="connsiteY91" fmla="*/ 1629228 h 1723571"/>
              <a:gd name="connsiteX92" fmla="*/ 936172 w 2264229"/>
              <a:gd name="connsiteY92" fmla="*/ 1618342 h 1723571"/>
              <a:gd name="connsiteX93" fmla="*/ 903515 w 2264229"/>
              <a:gd name="connsiteY93" fmla="*/ 1636485 h 1723571"/>
              <a:gd name="connsiteX94" fmla="*/ 881743 w 2264229"/>
              <a:gd name="connsiteY94" fmla="*/ 1614714 h 1723571"/>
              <a:gd name="connsiteX95" fmla="*/ 845458 w 2264229"/>
              <a:gd name="connsiteY95" fmla="*/ 1640114 h 1723571"/>
              <a:gd name="connsiteX96" fmla="*/ 841829 w 2264229"/>
              <a:gd name="connsiteY96" fmla="*/ 1680028 h 1723571"/>
              <a:gd name="connsiteX97" fmla="*/ 769258 w 2264229"/>
              <a:gd name="connsiteY97" fmla="*/ 1723571 h 1723571"/>
              <a:gd name="connsiteX98" fmla="*/ 743858 w 2264229"/>
              <a:gd name="connsiteY98" fmla="*/ 1698171 h 1723571"/>
              <a:gd name="connsiteX99" fmla="*/ 653143 w 2264229"/>
              <a:gd name="connsiteY99" fmla="*/ 1719942 h 1723571"/>
              <a:gd name="connsiteX100" fmla="*/ 580572 w 2264229"/>
              <a:gd name="connsiteY100" fmla="*/ 1680028 h 1723571"/>
              <a:gd name="connsiteX101" fmla="*/ 580572 w 2264229"/>
              <a:gd name="connsiteY101" fmla="*/ 1632857 h 1723571"/>
              <a:gd name="connsiteX102" fmla="*/ 624115 w 2264229"/>
              <a:gd name="connsiteY102" fmla="*/ 1589314 h 1723571"/>
              <a:gd name="connsiteX103" fmla="*/ 627743 w 2264229"/>
              <a:gd name="connsiteY103" fmla="*/ 1498600 h 1723571"/>
              <a:gd name="connsiteX104" fmla="*/ 605972 w 2264229"/>
              <a:gd name="connsiteY104" fmla="*/ 1480457 h 1723571"/>
              <a:gd name="connsiteX105" fmla="*/ 511629 w 2264229"/>
              <a:gd name="connsiteY105" fmla="*/ 1440542 h 1723571"/>
              <a:gd name="connsiteX106" fmla="*/ 424543 w 2264229"/>
              <a:gd name="connsiteY106" fmla="*/ 1284514 h 1723571"/>
              <a:gd name="connsiteX107" fmla="*/ 420915 w 2264229"/>
              <a:gd name="connsiteY107" fmla="*/ 1277257 h 1723571"/>
              <a:gd name="connsiteX108" fmla="*/ 344715 w 2264229"/>
              <a:gd name="connsiteY108" fmla="*/ 1349828 h 1723571"/>
              <a:gd name="connsiteX109" fmla="*/ 286658 w 2264229"/>
              <a:gd name="connsiteY109" fmla="*/ 1302657 h 1723571"/>
              <a:gd name="connsiteX110" fmla="*/ 254000 w 2264229"/>
              <a:gd name="connsiteY110" fmla="*/ 1324428 h 1723571"/>
              <a:gd name="connsiteX111" fmla="*/ 185058 w 2264229"/>
              <a:gd name="connsiteY111" fmla="*/ 1320800 h 1723571"/>
              <a:gd name="connsiteX112" fmla="*/ 101600 w 2264229"/>
              <a:gd name="connsiteY112"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56658 w 2264229"/>
              <a:gd name="connsiteY52" fmla="*/ 391885 h 1723571"/>
              <a:gd name="connsiteX53" fmla="*/ 1583907 w 2264229"/>
              <a:gd name="connsiteY53" fmla="*/ 312464 h 1723571"/>
              <a:gd name="connsiteX54" fmla="*/ 1705429 w 2264229"/>
              <a:gd name="connsiteY54" fmla="*/ 254000 h 1723571"/>
              <a:gd name="connsiteX55" fmla="*/ 1781629 w 2264229"/>
              <a:gd name="connsiteY55" fmla="*/ 315685 h 1723571"/>
              <a:gd name="connsiteX56" fmla="*/ 1850572 w 2264229"/>
              <a:gd name="connsiteY56" fmla="*/ 293914 h 1723571"/>
              <a:gd name="connsiteX57" fmla="*/ 1930400 w 2264229"/>
              <a:gd name="connsiteY57" fmla="*/ 337457 h 1723571"/>
              <a:gd name="connsiteX58" fmla="*/ 1970315 w 2264229"/>
              <a:gd name="connsiteY58" fmla="*/ 315685 h 1723571"/>
              <a:gd name="connsiteX59" fmla="*/ 2093686 w 2264229"/>
              <a:gd name="connsiteY59" fmla="*/ 402771 h 1723571"/>
              <a:gd name="connsiteX60" fmla="*/ 2111829 w 2264229"/>
              <a:gd name="connsiteY60" fmla="*/ 391885 h 1723571"/>
              <a:gd name="connsiteX61" fmla="*/ 2188029 w 2264229"/>
              <a:gd name="connsiteY61" fmla="*/ 446314 h 1723571"/>
              <a:gd name="connsiteX62" fmla="*/ 2198915 w 2264229"/>
              <a:gd name="connsiteY62" fmla="*/ 558800 h 1723571"/>
              <a:gd name="connsiteX63" fmla="*/ 2235200 w 2264229"/>
              <a:gd name="connsiteY63" fmla="*/ 558800 h 1723571"/>
              <a:gd name="connsiteX64" fmla="*/ 2264229 w 2264229"/>
              <a:gd name="connsiteY64" fmla="*/ 613228 h 1723571"/>
              <a:gd name="connsiteX65" fmla="*/ 2206172 w 2264229"/>
              <a:gd name="connsiteY65" fmla="*/ 620485 h 1723571"/>
              <a:gd name="connsiteX66" fmla="*/ 2151743 w 2264229"/>
              <a:gd name="connsiteY66" fmla="*/ 678542 h 1723571"/>
              <a:gd name="connsiteX67" fmla="*/ 2140858 w 2264229"/>
              <a:gd name="connsiteY67" fmla="*/ 725714 h 1723571"/>
              <a:gd name="connsiteX68" fmla="*/ 2198915 w 2264229"/>
              <a:gd name="connsiteY68" fmla="*/ 751114 h 1723571"/>
              <a:gd name="connsiteX69" fmla="*/ 2162629 w 2264229"/>
              <a:gd name="connsiteY69" fmla="*/ 783771 h 1723571"/>
              <a:gd name="connsiteX70" fmla="*/ 2166258 w 2264229"/>
              <a:gd name="connsiteY70" fmla="*/ 823685 h 1723571"/>
              <a:gd name="connsiteX71" fmla="*/ 2013858 w 2264229"/>
              <a:gd name="connsiteY71" fmla="*/ 1019628 h 1723571"/>
              <a:gd name="connsiteX72" fmla="*/ 1912258 w 2264229"/>
              <a:gd name="connsiteY72" fmla="*/ 1081314 h 1723571"/>
              <a:gd name="connsiteX73" fmla="*/ 1923143 w 2264229"/>
              <a:gd name="connsiteY73" fmla="*/ 1197428 h 1723571"/>
              <a:gd name="connsiteX74" fmla="*/ 1778000 w 2264229"/>
              <a:gd name="connsiteY74" fmla="*/ 1338942 h 1723571"/>
              <a:gd name="connsiteX75" fmla="*/ 1730829 w 2264229"/>
              <a:gd name="connsiteY75" fmla="*/ 1491342 h 1723571"/>
              <a:gd name="connsiteX76" fmla="*/ 1680029 w 2264229"/>
              <a:gd name="connsiteY76" fmla="*/ 1571171 h 1723571"/>
              <a:gd name="connsiteX77" fmla="*/ 1596572 w 2264229"/>
              <a:gd name="connsiteY77" fmla="*/ 1618342 h 1723571"/>
              <a:gd name="connsiteX78" fmla="*/ 1563915 w 2264229"/>
              <a:gd name="connsiteY78" fmla="*/ 1618342 h 1723571"/>
              <a:gd name="connsiteX79" fmla="*/ 1556658 w 2264229"/>
              <a:gd name="connsiteY79" fmla="*/ 1578428 h 1723571"/>
              <a:gd name="connsiteX80" fmla="*/ 1516743 w 2264229"/>
              <a:gd name="connsiteY80" fmla="*/ 1563914 h 1723571"/>
              <a:gd name="connsiteX81" fmla="*/ 1455058 w 2264229"/>
              <a:gd name="connsiteY81" fmla="*/ 1618342 h 1723571"/>
              <a:gd name="connsiteX82" fmla="*/ 1422400 w 2264229"/>
              <a:gd name="connsiteY82" fmla="*/ 1618342 h 1723571"/>
              <a:gd name="connsiteX83" fmla="*/ 1426029 w 2264229"/>
              <a:gd name="connsiteY83" fmla="*/ 1582057 h 1723571"/>
              <a:gd name="connsiteX84" fmla="*/ 1386115 w 2264229"/>
              <a:gd name="connsiteY84" fmla="*/ 1582057 h 1723571"/>
              <a:gd name="connsiteX85" fmla="*/ 1331686 w 2264229"/>
              <a:gd name="connsiteY85" fmla="*/ 1480457 h 1723571"/>
              <a:gd name="connsiteX86" fmla="*/ 1266372 w 2264229"/>
              <a:gd name="connsiteY86" fmla="*/ 1444171 h 1723571"/>
              <a:gd name="connsiteX87" fmla="*/ 1201058 w 2264229"/>
              <a:gd name="connsiteY87" fmla="*/ 1455057 h 1723571"/>
              <a:gd name="connsiteX88" fmla="*/ 1132115 w 2264229"/>
              <a:gd name="connsiteY88" fmla="*/ 1440542 h 1723571"/>
              <a:gd name="connsiteX89" fmla="*/ 1052286 w 2264229"/>
              <a:gd name="connsiteY89" fmla="*/ 1701800 h 1723571"/>
              <a:gd name="connsiteX90" fmla="*/ 986972 w 2264229"/>
              <a:gd name="connsiteY90" fmla="*/ 1607457 h 1723571"/>
              <a:gd name="connsiteX91" fmla="*/ 961572 w 2264229"/>
              <a:gd name="connsiteY91" fmla="*/ 1629228 h 1723571"/>
              <a:gd name="connsiteX92" fmla="*/ 936172 w 2264229"/>
              <a:gd name="connsiteY92" fmla="*/ 1618342 h 1723571"/>
              <a:gd name="connsiteX93" fmla="*/ 903515 w 2264229"/>
              <a:gd name="connsiteY93" fmla="*/ 1636485 h 1723571"/>
              <a:gd name="connsiteX94" fmla="*/ 881743 w 2264229"/>
              <a:gd name="connsiteY94" fmla="*/ 1614714 h 1723571"/>
              <a:gd name="connsiteX95" fmla="*/ 845458 w 2264229"/>
              <a:gd name="connsiteY95" fmla="*/ 1640114 h 1723571"/>
              <a:gd name="connsiteX96" fmla="*/ 841829 w 2264229"/>
              <a:gd name="connsiteY96" fmla="*/ 1680028 h 1723571"/>
              <a:gd name="connsiteX97" fmla="*/ 769258 w 2264229"/>
              <a:gd name="connsiteY97" fmla="*/ 1723571 h 1723571"/>
              <a:gd name="connsiteX98" fmla="*/ 743858 w 2264229"/>
              <a:gd name="connsiteY98" fmla="*/ 1698171 h 1723571"/>
              <a:gd name="connsiteX99" fmla="*/ 653143 w 2264229"/>
              <a:gd name="connsiteY99" fmla="*/ 1719942 h 1723571"/>
              <a:gd name="connsiteX100" fmla="*/ 580572 w 2264229"/>
              <a:gd name="connsiteY100" fmla="*/ 1680028 h 1723571"/>
              <a:gd name="connsiteX101" fmla="*/ 580572 w 2264229"/>
              <a:gd name="connsiteY101" fmla="*/ 1632857 h 1723571"/>
              <a:gd name="connsiteX102" fmla="*/ 624115 w 2264229"/>
              <a:gd name="connsiteY102" fmla="*/ 1589314 h 1723571"/>
              <a:gd name="connsiteX103" fmla="*/ 627743 w 2264229"/>
              <a:gd name="connsiteY103" fmla="*/ 1498600 h 1723571"/>
              <a:gd name="connsiteX104" fmla="*/ 605972 w 2264229"/>
              <a:gd name="connsiteY104" fmla="*/ 1480457 h 1723571"/>
              <a:gd name="connsiteX105" fmla="*/ 511629 w 2264229"/>
              <a:gd name="connsiteY105" fmla="*/ 1440542 h 1723571"/>
              <a:gd name="connsiteX106" fmla="*/ 424543 w 2264229"/>
              <a:gd name="connsiteY106" fmla="*/ 1284514 h 1723571"/>
              <a:gd name="connsiteX107" fmla="*/ 420915 w 2264229"/>
              <a:gd name="connsiteY107" fmla="*/ 1277257 h 1723571"/>
              <a:gd name="connsiteX108" fmla="*/ 344715 w 2264229"/>
              <a:gd name="connsiteY108" fmla="*/ 1349828 h 1723571"/>
              <a:gd name="connsiteX109" fmla="*/ 286658 w 2264229"/>
              <a:gd name="connsiteY109" fmla="*/ 1302657 h 1723571"/>
              <a:gd name="connsiteX110" fmla="*/ 254000 w 2264229"/>
              <a:gd name="connsiteY110" fmla="*/ 1324428 h 1723571"/>
              <a:gd name="connsiteX111" fmla="*/ 185058 w 2264229"/>
              <a:gd name="connsiteY111" fmla="*/ 1320800 h 1723571"/>
              <a:gd name="connsiteX112" fmla="*/ 101600 w 2264229"/>
              <a:gd name="connsiteY112"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705429 w 2264229"/>
              <a:gd name="connsiteY54" fmla="*/ 254000 h 1723571"/>
              <a:gd name="connsiteX55" fmla="*/ 1781629 w 2264229"/>
              <a:gd name="connsiteY55" fmla="*/ 315685 h 1723571"/>
              <a:gd name="connsiteX56" fmla="*/ 1850572 w 2264229"/>
              <a:gd name="connsiteY56" fmla="*/ 293914 h 1723571"/>
              <a:gd name="connsiteX57" fmla="*/ 1930400 w 2264229"/>
              <a:gd name="connsiteY57" fmla="*/ 337457 h 1723571"/>
              <a:gd name="connsiteX58" fmla="*/ 1970315 w 2264229"/>
              <a:gd name="connsiteY58" fmla="*/ 315685 h 1723571"/>
              <a:gd name="connsiteX59" fmla="*/ 2093686 w 2264229"/>
              <a:gd name="connsiteY59" fmla="*/ 402771 h 1723571"/>
              <a:gd name="connsiteX60" fmla="*/ 2111829 w 2264229"/>
              <a:gd name="connsiteY60" fmla="*/ 391885 h 1723571"/>
              <a:gd name="connsiteX61" fmla="*/ 2188029 w 2264229"/>
              <a:gd name="connsiteY61" fmla="*/ 446314 h 1723571"/>
              <a:gd name="connsiteX62" fmla="*/ 2198915 w 2264229"/>
              <a:gd name="connsiteY62" fmla="*/ 558800 h 1723571"/>
              <a:gd name="connsiteX63" fmla="*/ 2235200 w 2264229"/>
              <a:gd name="connsiteY63" fmla="*/ 558800 h 1723571"/>
              <a:gd name="connsiteX64" fmla="*/ 2264229 w 2264229"/>
              <a:gd name="connsiteY64" fmla="*/ 613228 h 1723571"/>
              <a:gd name="connsiteX65" fmla="*/ 2206172 w 2264229"/>
              <a:gd name="connsiteY65" fmla="*/ 620485 h 1723571"/>
              <a:gd name="connsiteX66" fmla="*/ 2151743 w 2264229"/>
              <a:gd name="connsiteY66" fmla="*/ 678542 h 1723571"/>
              <a:gd name="connsiteX67" fmla="*/ 2140858 w 2264229"/>
              <a:gd name="connsiteY67" fmla="*/ 725714 h 1723571"/>
              <a:gd name="connsiteX68" fmla="*/ 2198915 w 2264229"/>
              <a:gd name="connsiteY68" fmla="*/ 751114 h 1723571"/>
              <a:gd name="connsiteX69" fmla="*/ 2162629 w 2264229"/>
              <a:gd name="connsiteY69" fmla="*/ 783771 h 1723571"/>
              <a:gd name="connsiteX70" fmla="*/ 2166258 w 2264229"/>
              <a:gd name="connsiteY70" fmla="*/ 823685 h 1723571"/>
              <a:gd name="connsiteX71" fmla="*/ 2013858 w 2264229"/>
              <a:gd name="connsiteY71" fmla="*/ 1019628 h 1723571"/>
              <a:gd name="connsiteX72" fmla="*/ 1912258 w 2264229"/>
              <a:gd name="connsiteY72" fmla="*/ 1081314 h 1723571"/>
              <a:gd name="connsiteX73" fmla="*/ 1923143 w 2264229"/>
              <a:gd name="connsiteY73" fmla="*/ 1197428 h 1723571"/>
              <a:gd name="connsiteX74" fmla="*/ 1778000 w 2264229"/>
              <a:gd name="connsiteY74" fmla="*/ 1338942 h 1723571"/>
              <a:gd name="connsiteX75" fmla="*/ 1730829 w 2264229"/>
              <a:gd name="connsiteY75" fmla="*/ 1491342 h 1723571"/>
              <a:gd name="connsiteX76" fmla="*/ 1680029 w 2264229"/>
              <a:gd name="connsiteY76" fmla="*/ 1571171 h 1723571"/>
              <a:gd name="connsiteX77" fmla="*/ 1596572 w 2264229"/>
              <a:gd name="connsiteY77" fmla="*/ 1618342 h 1723571"/>
              <a:gd name="connsiteX78" fmla="*/ 1563915 w 2264229"/>
              <a:gd name="connsiteY78" fmla="*/ 1618342 h 1723571"/>
              <a:gd name="connsiteX79" fmla="*/ 1556658 w 2264229"/>
              <a:gd name="connsiteY79" fmla="*/ 1578428 h 1723571"/>
              <a:gd name="connsiteX80" fmla="*/ 1516743 w 2264229"/>
              <a:gd name="connsiteY80" fmla="*/ 1563914 h 1723571"/>
              <a:gd name="connsiteX81" fmla="*/ 1455058 w 2264229"/>
              <a:gd name="connsiteY81" fmla="*/ 1618342 h 1723571"/>
              <a:gd name="connsiteX82" fmla="*/ 1422400 w 2264229"/>
              <a:gd name="connsiteY82" fmla="*/ 1618342 h 1723571"/>
              <a:gd name="connsiteX83" fmla="*/ 1426029 w 2264229"/>
              <a:gd name="connsiteY83" fmla="*/ 1582057 h 1723571"/>
              <a:gd name="connsiteX84" fmla="*/ 1386115 w 2264229"/>
              <a:gd name="connsiteY84" fmla="*/ 1582057 h 1723571"/>
              <a:gd name="connsiteX85" fmla="*/ 1331686 w 2264229"/>
              <a:gd name="connsiteY85" fmla="*/ 1480457 h 1723571"/>
              <a:gd name="connsiteX86" fmla="*/ 1266372 w 2264229"/>
              <a:gd name="connsiteY86" fmla="*/ 1444171 h 1723571"/>
              <a:gd name="connsiteX87" fmla="*/ 1201058 w 2264229"/>
              <a:gd name="connsiteY87" fmla="*/ 1455057 h 1723571"/>
              <a:gd name="connsiteX88" fmla="*/ 1132115 w 2264229"/>
              <a:gd name="connsiteY88" fmla="*/ 1440542 h 1723571"/>
              <a:gd name="connsiteX89" fmla="*/ 1052286 w 2264229"/>
              <a:gd name="connsiteY89" fmla="*/ 1701800 h 1723571"/>
              <a:gd name="connsiteX90" fmla="*/ 986972 w 2264229"/>
              <a:gd name="connsiteY90" fmla="*/ 1607457 h 1723571"/>
              <a:gd name="connsiteX91" fmla="*/ 961572 w 2264229"/>
              <a:gd name="connsiteY91" fmla="*/ 1629228 h 1723571"/>
              <a:gd name="connsiteX92" fmla="*/ 936172 w 2264229"/>
              <a:gd name="connsiteY92" fmla="*/ 1618342 h 1723571"/>
              <a:gd name="connsiteX93" fmla="*/ 903515 w 2264229"/>
              <a:gd name="connsiteY93" fmla="*/ 1636485 h 1723571"/>
              <a:gd name="connsiteX94" fmla="*/ 881743 w 2264229"/>
              <a:gd name="connsiteY94" fmla="*/ 1614714 h 1723571"/>
              <a:gd name="connsiteX95" fmla="*/ 845458 w 2264229"/>
              <a:gd name="connsiteY95" fmla="*/ 1640114 h 1723571"/>
              <a:gd name="connsiteX96" fmla="*/ 841829 w 2264229"/>
              <a:gd name="connsiteY96" fmla="*/ 1680028 h 1723571"/>
              <a:gd name="connsiteX97" fmla="*/ 769258 w 2264229"/>
              <a:gd name="connsiteY97" fmla="*/ 1723571 h 1723571"/>
              <a:gd name="connsiteX98" fmla="*/ 743858 w 2264229"/>
              <a:gd name="connsiteY98" fmla="*/ 1698171 h 1723571"/>
              <a:gd name="connsiteX99" fmla="*/ 653143 w 2264229"/>
              <a:gd name="connsiteY99" fmla="*/ 1719942 h 1723571"/>
              <a:gd name="connsiteX100" fmla="*/ 580572 w 2264229"/>
              <a:gd name="connsiteY100" fmla="*/ 1680028 h 1723571"/>
              <a:gd name="connsiteX101" fmla="*/ 580572 w 2264229"/>
              <a:gd name="connsiteY101" fmla="*/ 1632857 h 1723571"/>
              <a:gd name="connsiteX102" fmla="*/ 624115 w 2264229"/>
              <a:gd name="connsiteY102" fmla="*/ 1589314 h 1723571"/>
              <a:gd name="connsiteX103" fmla="*/ 627743 w 2264229"/>
              <a:gd name="connsiteY103" fmla="*/ 1498600 h 1723571"/>
              <a:gd name="connsiteX104" fmla="*/ 605972 w 2264229"/>
              <a:gd name="connsiteY104" fmla="*/ 1480457 h 1723571"/>
              <a:gd name="connsiteX105" fmla="*/ 511629 w 2264229"/>
              <a:gd name="connsiteY105" fmla="*/ 1440542 h 1723571"/>
              <a:gd name="connsiteX106" fmla="*/ 424543 w 2264229"/>
              <a:gd name="connsiteY106" fmla="*/ 1284514 h 1723571"/>
              <a:gd name="connsiteX107" fmla="*/ 420915 w 2264229"/>
              <a:gd name="connsiteY107" fmla="*/ 1277257 h 1723571"/>
              <a:gd name="connsiteX108" fmla="*/ 344715 w 2264229"/>
              <a:gd name="connsiteY108" fmla="*/ 1349828 h 1723571"/>
              <a:gd name="connsiteX109" fmla="*/ 286658 w 2264229"/>
              <a:gd name="connsiteY109" fmla="*/ 1302657 h 1723571"/>
              <a:gd name="connsiteX110" fmla="*/ 254000 w 2264229"/>
              <a:gd name="connsiteY110" fmla="*/ 1324428 h 1723571"/>
              <a:gd name="connsiteX111" fmla="*/ 185058 w 2264229"/>
              <a:gd name="connsiteY111" fmla="*/ 1320800 h 1723571"/>
              <a:gd name="connsiteX112" fmla="*/ 101600 w 2264229"/>
              <a:gd name="connsiteY112"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81629 w 2264229"/>
              <a:gd name="connsiteY55" fmla="*/ 315685 h 1723571"/>
              <a:gd name="connsiteX56" fmla="*/ 1850572 w 2264229"/>
              <a:gd name="connsiteY56" fmla="*/ 293914 h 1723571"/>
              <a:gd name="connsiteX57" fmla="*/ 1930400 w 2264229"/>
              <a:gd name="connsiteY57" fmla="*/ 337457 h 1723571"/>
              <a:gd name="connsiteX58" fmla="*/ 1970315 w 2264229"/>
              <a:gd name="connsiteY58" fmla="*/ 315685 h 1723571"/>
              <a:gd name="connsiteX59" fmla="*/ 2093686 w 2264229"/>
              <a:gd name="connsiteY59" fmla="*/ 402771 h 1723571"/>
              <a:gd name="connsiteX60" fmla="*/ 2111829 w 2264229"/>
              <a:gd name="connsiteY60" fmla="*/ 391885 h 1723571"/>
              <a:gd name="connsiteX61" fmla="*/ 2188029 w 2264229"/>
              <a:gd name="connsiteY61" fmla="*/ 446314 h 1723571"/>
              <a:gd name="connsiteX62" fmla="*/ 2198915 w 2264229"/>
              <a:gd name="connsiteY62" fmla="*/ 558800 h 1723571"/>
              <a:gd name="connsiteX63" fmla="*/ 2235200 w 2264229"/>
              <a:gd name="connsiteY63" fmla="*/ 558800 h 1723571"/>
              <a:gd name="connsiteX64" fmla="*/ 2264229 w 2264229"/>
              <a:gd name="connsiteY64" fmla="*/ 613228 h 1723571"/>
              <a:gd name="connsiteX65" fmla="*/ 2206172 w 2264229"/>
              <a:gd name="connsiteY65" fmla="*/ 620485 h 1723571"/>
              <a:gd name="connsiteX66" fmla="*/ 2151743 w 2264229"/>
              <a:gd name="connsiteY66" fmla="*/ 678542 h 1723571"/>
              <a:gd name="connsiteX67" fmla="*/ 2140858 w 2264229"/>
              <a:gd name="connsiteY67" fmla="*/ 725714 h 1723571"/>
              <a:gd name="connsiteX68" fmla="*/ 2198915 w 2264229"/>
              <a:gd name="connsiteY68" fmla="*/ 751114 h 1723571"/>
              <a:gd name="connsiteX69" fmla="*/ 2162629 w 2264229"/>
              <a:gd name="connsiteY69" fmla="*/ 783771 h 1723571"/>
              <a:gd name="connsiteX70" fmla="*/ 2166258 w 2264229"/>
              <a:gd name="connsiteY70" fmla="*/ 823685 h 1723571"/>
              <a:gd name="connsiteX71" fmla="*/ 2013858 w 2264229"/>
              <a:gd name="connsiteY71" fmla="*/ 1019628 h 1723571"/>
              <a:gd name="connsiteX72" fmla="*/ 1912258 w 2264229"/>
              <a:gd name="connsiteY72" fmla="*/ 1081314 h 1723571"/>
              <a:gd name="connsiteX73" fmla="*/ 1923143 w 2264229"/>
              <a:gd name="connsiteY73" fmla="*/ 1197428 h 1723571"/>
              <a:gd name="connsiteX74" fmla="*/ 1778000 w 2264229"/>
              <a:gd name="connsiteY74" fmla="*/ 1338942 h 1723571"/>
              <a:gd name="connsiteX75" fmla="*/ 1730829 w 2264229"/>
              <a:gd name="connsiteY75" fmla="*/ 1491342 h 1723571"/>
              <a:gd name="connsiteX76" fmla="*/ 1680029 w 2264229"/>
              <a:gd name="connsiteY76" fmla="*/ 1571171 h 1723571"/>
              <a:gd name="connsiteX77" fmla="*/ 1596572 w 2264229"/>
              <a:gd name="connsiteY77" fmla="*/ 1618342 h 1723571"/>
              <a:gd name="connsiteX78" fmla="*/ 1563915 w 2264229"/>
              <a:gd name="connsiteY78" fmla="*/ 1618342 h 1723571"/>
              <a:gd name="connsiteX79" fmla="*/ 1556658 w 2264229"/>
              <a:gd name="connsiteY79" fmla="*/ 1578428 h 1723571"/>
              <a:gd name="connsiteX80" fmla="*/ 1516743 w 2264229"/>
              <a:gd name="connsiteY80" fmla="*/ 1563914 h 1723571"/>
              <a:gd name="connsiteX81" fmla="*/ 1455058 w 2264229"/>
              <a:gd name="connsiteY81" fmla="*/ 1618342 h 1723571"/>
              <a:gd name="connsiteX82" fmla="*/ 1422400 w 2264229"/>
              <a:gd name="connsiteY82" fmla="*/ 1618342 h 1723571"/>
              <a:gd name="connsiteX83" fmla="*/ 1426029 w 2264229"/>
              <a:gd name="connsiteY83" fmla="*/ 1582057 h 1723571"/>
              <a:gd name="connsiteX84" fmla="*/ 1386115 w 2264229"/>
              <a:gd name="connsiteY84" fmla="*/ 1582057 h 1723571"/>
              <a:gd name="connsiteX85" fmla="*/ 1331686 w 2264229"/>
              <a:gd name="connsiteY85" fmla="*/ 1480457 h 1723571"/>
              <a:gd name="connsiteX86" fmla="*/ 1266372 w 2264229"/>
              <a:gd name="connsiteY86" fmla="*/ 1444171 h 1723571"/>
              <a:gd name="connsiteX87" fmla="*/ 1201058 w 2264229"/>
              <a:gd name="connsiteY87" fmla="*/ 1455057 h 1723571"/>
              <a:gd name="connsiteX88" fmla="*/ 1132115 w 2264229"/>
              <a:gd name="connsiteY88" fmla="*/ 1440542 h 1723571"/>
              <a:gd name="connsiteX89" fmla="*/ 1052286 w 2264229"/>
              <a:gd name="connsiteY89" fmla="*/ 1701800 h 1723571"/>
              <a:gd name="connsiteX90" fmla="*/ 986972 w 2264229"/>
              <a:gd name="connsiteY90" fmla="*/ 1607457 h 1723571"/>
              <a:gd name="connsiteX91" fmla="*/ 961572 w 2264229"/>
              <a:gd name="connsiteY91" fmla="*/ 1629228 h 1723571"/>
              <a:gd name="connsiteX92" fmla="*/ 936172 w 2264229"/>
              <a:gd name="connsiteY92" fmla="*/ 1618342 h 1723571"/>
              <a:gd name="connsiteX93" fmla="*/ 903515 w 2264229"/>
              <a:gd name="connsiteY93" fmla="*/ 1636485 h 1723571"/>
              <a:gd name="connsiteX94" fmla="*/ 881743 w 2264229"/>
              <a:gd name="connsiteY94" fmla="*/ 1614714 h 1723571"/>
              <a:gd name="connsiteX95" fmla="*/ 845458 w 2264229"/>
              <a:gd name="connsiteY95" fmla="*/ 1640114 h 1723571"/>
              <a:gd name="connsiteX96" fmla="*/ 841829 w 2264229"/>
              <a:gd name="connsiteY96" fmla="*/ 1680028 h 1723571"/>
              <a:gd name="connsiteX97" fmla="*/ 769258 w 2264229"/>
              <a:gd name="connsiteY97" fmla="*/ 1723571 h 1723571"/>
              <a:gd name="connsiteX98" fmla="*/ 743858 w 2264229"/>
              <a:gd name="connsiteY98" fmla="*/ 1698171 h 1723571"/>
              <a:gd name="connsiteX99" fmla="*/ 653143 w 2264229"/>
              <a:gd name="connsiteY99" fmla="*/ 1719942 h 1723571"/>
              <a:gd name="connsiteX100" fmla="*/ 580572 w 2264229"/>
              <a:gd name="connsiteY100" fmla="*/ 1680028 h 1723571"/>
              <a:gd name="connsiteX101" fmla="*/ 580572 w 2264229"/>
              <a:gd name="connsiteY101" fmla="*/ 1632857 h 1723571"/>
              <a:gd name="connsiteX102" fmla="*/ 624115 w 2264229"/>
              <a:gd name="connsiteY102" fmla="*/ 1589314 h 1723571"/>
              <a:gd name="connsiteX103" fmla="*/ 627743 w 2264229"/>
              <a:gd name="connsiteY103" fmla="*/ 1498600 h 1723571"/>
              <a:gd name="connsiteX104" fmla="*/ 605972 w 2264229"/>
              <a:gd name="connsiteY104" fmla="*/ 1480457 h 1723571"/>
              <a:gd name="connsiteX105" fmla="*/ 511629 w 2264229"/>
              <a:gd name="connsiteY105" fmla="*/ 1440542 h 1723571"/>
              <a:gd name="connsiteX106" fmla="*/ 424543 w 2264229"/>
              <a:gd name="connsiteY106" fmla="*/ 1284514 h 1723571"/>
              <a:gd name="connsiteX107" fmla="*/ 420915 w 2264229"/>
              <a:gd name="connsiteY107" fmla="*/ 1277257 h 1723571"/>
              <a:gd name="connsiteX108" fmla="*/ 344715 w 2264229"/>
              <a:gd name="connsiteY108" fmla="*/ 1349828 h 1723571"/>
              <a:gd name="connsiteX109" fmla="*/ 286658 w 2264229"/>
              <a:gd name="connsiteY109" fmla="*/ 1302657 h 1723571"/>
              <a:gd name="connsiteX110" fmla="*/ 254000 w 2264229"/>
              <a:gd name="connsiteY110" fmla="*/ 1324428 h 1723571"/>
              <a:gd name="connsiteX111" fmla="*/ 185058 w 2264229"/>
              <a:gd name="connsiteY111" fmla="*/ 1320800 h 1723571"/>
              <a:gd name="connsiteX112" fmla="*/ 101600 w 2264229"/>
              <a:gd name="connsiteY112"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50572 w 2264229"/>
              <a:gd name="connsiteY56" fmla="*/ 293914 h 1723571"/>
              <a:gd name="connsiteX57" fmla="*/ 1930400 w 2264229"/>
              <a:gd name="connsiteY57" fmla="*/ 337457 h 1723571"/>
              <a:gd name="connsiteX58" fmla="*/ 1970315 w 2264229"/>
              <a:gd name="connsiteY58" fmla="*/ 315685 h 1723571"/>
              <a:gd name="connsiteX59" fmla="*/ 2093686 w 2264229"/>
              <a:gd name="connsiteY59" fmla="*/ 402771 h 1723571"/>
              <a:gd name="connsiteX60" fmla="*/ 2111829 w 2264229"/>
              <a:gd name="connsiteY60" fmla="*/ 391885 h 1723571"/>
              <a:gd name="connsiteX61" fmla="*/ 2188029 w 2264229"/>
              <a:gd name="connsiteY61" fmla="*/ 446314 h 1723571"/>
              <a:gd name="connsiteX62" fmla="*/ 2198915 w 2264229"/>
              <a:gd name="connsiteY62" fmla="*/ 558800 h 1723571"/>
              <a:gd name="connsiteX63" fmla="*/ 2235200 w 2264229"/>
              <a:gd name="connsiteY63" fmla="*/ 558800 h 1723571"/>
              <a:gd name="connsiteX64" fmla="*/ 2264229 w 2264229"/>
              <a:gd name="connsiteY64" fmla="*/ 613228 h 1723571"/>
              <a:gd name="connsiteX65" fmla="*/ 2206172 w 2264229"/>
              <a:gd name="connsiteY65" fmla="*/ 620485 h 1723571"/>
              <a:gd name="connsiteX66" fmla="*/ 2151743 w 2264229"/>
              <a:gd name="connsiteY66" fmla="*/ 678542 h 1723571"/>
              <a:gd name="connsiteX67" fmla="*/ 2140858 w 2264229"/>
              <a:gd name="connsiteY67" fmla="*/ 725714 h 1723571"/>
              <a:gd name="connsiteX68" fmla="*/ 2198915 w 2264229"/>
              <a:gd name="connsiteY68" fmla="*/ 751114 h 1723571"/>
              <a:gd name="connsiteX69" fmla="*/ 2162629 w 2264229"/>
              <a:gd name="connsiteY69" fmla="*/ 783771 h 1723571"/>
              <a:gd name="connsiteX70" fmla="*/ 2166258 w 2264229"/>
              <a:gd name="connsiteY70" fmla="*/ 823685 h 1723571"/>
              <a:gd name="connsiteX71" fmla="*/ 2013858 w 2264229"/>
              <a:gd name="connsiteY71" fmla="*/ 1019628 h 1723571"/>
              <a:gd name="connsiteX72" fmla="*/ 1912258 w 2264229"/>
              <a:gd name="connsiteY72" fmla="*/ 1081314 h 1723571"/>
              <a:gd name="connsiteX73" fmla="*/ 1923143 w 2264229"/>
              <a:gd name="connsiteY73" fmla="*/ 1197428 h 1723571"/>
              <a:gd name="connsiteX74" fmla="*/ 1778000 w 2264229"/>
              <a:gd name="connsiteY74" fmla="*/ 1338942 h 1723571"/>
              <a:gd name="connsiteX75" fmla="*/ 1730829 w 2264229"/>
              <a:gd name="connsiteY75" fmla="*/ 1491342 h 1723571"/>
              <a:gd name="connsiteX76" fmla="*/ 1680029 w 2264229"/>
              <a:gd name="connsiteY76" fmla="*/ 1571171 h 1723571"/>
              <a:gd name="connsiteX77" fmla="*/ 1596572 w 2264229"/>
              <a:gd name="connsiteY77" fmla="*/ 1618342 h 1723571"/>
              <a:gd name="connsiteX78" fmla="*/ 1563915 w 2264229"/>
              <a:gd name="connsiteY78" fmla="*/ 1618342 h 1723571"/>
              <a:gd name="connsiteX79" fmla="*/ 1556658 w 2264229"/>
              <a:gd name="connsiteY79" fmla="*/ 1578428 h 1723571"/>
              <a:gd name="connsiteX80" fmla="*/ 1516743 w 2264229"/>
              <a:gd name="connsiteY80" fmla="*/ 1563914 h 1723571"/>
              <a:gd name="connsiteX81" fmla="*/ 1455058 w 2264229"/>
              <a:gd name="connsiteY81" fmla="*/ 1618342 h 1723571"/>
              <a:gd name="connsiteX82" fmla="*/ 1422400 w 2264229"/>
              <a:gd name="connsiteY82" fmla="*/ 1618342 h 1723571"/>
              <a:gd name="connsiteX83" fmla="*/ 1426029 w 2264229"/>
              <a:gd name="connsiteY83" fmla="*/ 1582057 h 1723571"/>
              <a:gd name="connsiteX84" fmla="*/ 1386115 w 2264229"/>
              <a:gd name="connsiteY84" fmla="*/ 1582057 h 1723571"/>
              <a:gd name="connsiteX85" fmla="*/ 1331686 w 2264229"/>
              <a:gd name="connsiteY85" fmla="*/ 1480457 h 1723571"/>
              <a:gd name="connsiteX86" fmla="*/ 1266372 w 2264229"/>
              <a:gd name="connsiteY86" fmla="*/ 1444171 h 1723571"/>
              <a:gd name="connsiteX87" fmla="*/ 1201058 w 2264229"/>
              <a:gd name="connsiteY87" fmla="*/ 1455057 h 1723571"/>
              <a:gd name="connsiteX88" fmla="*/ 1132115 w 2264229"/>
              <a:gd name="connsiteY88" fmla="*/ 1440542 h 1723571"/>
              <a:gd name="connsiteX89" fmla="*/ 1052286 w 2264229"/>
              <a:gd name="connsiteY89" fmla="*/ 1701800 h 1723571"/>
              <a:gd name="connsiteX90" fmla="*/ 986972 w 2264229"/>
              <a:gd name="connsiteY90" fmla="*/ 1607457 h 1723571"/>
              <a:gd name="connsiteX91" fmla="*/ 961572 w 2264229"/>
              <a:gd name="connsiteY91" fmla="*/ 1629228 h 1723571"/>
              <a:gd name="connsiteX92" fmla="*/ 936172 w 2264229"/>
              <a:gd name="connsiteY92" fmla="*/ 1618342 h 1723571"/>
              <a:gd name="connsiteX93" fmla="*/ 903515 w 2264229"/>
              <a:gd name="connsiteY93" fmla="*/ 1636485 h 1723571"/>
              <a:gd name="connsiteX94" fmla="*/ 881743 w 2264229"/>
              <a:gd name="connsiteY94" fmla="*/ 1614714 h 1723571"/>
              <a:gd name="connsiteX95" fmla="*/ 845458 w 2264229"/>
              <a:gd name="connsiteY95" fmla="*/ 1640114 h 1723571"/>
              <a:gd name="connsiteX96" fmla="*/ 841829 w 2264229"/>
              <a:gd name="connsiteY96" fmla="*/ 1680028 h 1723571"/>
              <a:gd name="connsiteX97" fmla="*/ 769258 w 2264229"/>
              <a:gd name="connsiteY97" fmla="*/ 1723571 h 1723571"/>
              <a:gd name="connsiteX98" fmla="*/ 743858 w 2264229"/>
              <a:gd name="connsiteY98" fmla="*/ 1698171 h 1723571"/>
              <a:gd name="connsiteX99" fmla="*/ 653143 w 2264229"/>
              <a:gd name="connsiteY99" fmla="*/ 1719942 h 1723571"/>
              <a:gd name="connsiteX100" fmla="*/ 580572 w 2264229"/>
              <a:gd name="connsiteY100" fmla="*/ 1680028 h 1723571"/>
              <a:gd name="connsiteX101" fmla="*/ 580572 w 2264229"/>
              <a:gd name="connsiteY101" fmla="*/ 1632857 h 1723571"/>
              <a:gd name="connsiteX102" fmla="*/ 624115 w 2264229"/>
              <a:gd name="connsiteY102" fmla="*/ 1589314 h 1723571"/>
              <a:gd name="connsiteX103" fmla="*/ 627743 w 2264229"/>
              <a:gd name="connsiteY103" fmla="*/ 1498600 h 1723571"/>
              <a:gd name="connsiteX104" fmla="*/ 605972 w 2264229"/>
              <a:gd name="connsiteY104" fmla="*/ 1480457 h 1723571"/>
              <a:gd name="connsiteX105" fmla="*/ 511629 w 2264229"/>
              <a:gd name="connsiteY105" fmla="*/ 1440542 h 1723571"/>
              <a:gd name="connsiteX106" fmla="*/ 424543 w 2264229"/>
              <a:gd name="connsiteY106" fmla="*/ 1284514 h 1723571"/>
              <a:gd name="connsiteX107" fmla="*/ 420915 w 2264229"/>
              <a:gd name="connsiteY107" fmla="*/ 1277257 h 1723571"/>
              <a:gd name="connsiteX108" fmla="*/ 344715 w 2264229"/>
              <a:gd name="connsiteY108" fmla="*/ 1349828 h 1723571"/>
              <a:gd name="connsiteX109" fmla="*/ 286658 w 2264229"/>
              <a:gd name="connsiteY109" fmla="*/ 1302657 h 1723571"/>
              <a:gd name="connsiteX110" fmla="*/ 254000 w 2264229"/>
              <a:gd name="connsiteY110" fmla="*/ 1324428 h 1723571"/>
              <a:gd name="connsiteX111" fmla="*/ 185058 w 2264229"/>
              <a:gd name="connsiteY111" fmla="*/ 1320800 h 1723571"/>
              <a:gd name="connsiteX112" fmla="*/ 101600 w 2264229"/>
              <a:gd name="connsiteY112"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30400 w 2264229"/>
              <a:gd name="connsiteY58" fmla="*/ 337457 h 1723571"/>
              <a:gd name="connsiteX59" fmla="*/ 1970315 w 2264229"/>
              <a:gd name="connsiteY59" fmla="*/ 315685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30400 w 2264229"/>
              <a:gd name="connsiteY58" fmla="*/ 337457 h 1723571"/>
              <a:gd name="connsiteX59" fmla="*/ 1921823 w 2264229"/>
              <a:gd name="connsiteY59" fmla="*/ 329780 h 1723571"/>
              <a:gd name="connsiteX60" fmla="*/ 1970315 w 2264229"/>
              <a:gd name="connsiteY60" fmla="*/ 315685 h 1723571"/>
              <a:gd name="connsiteX61" fmla="*/ 2093686 w 2264229"/>
              <a:gd name="connsiteY61" fmla="*/ 402771 h 1723571"/>
              <a:gd name="connsiteX62" fmla="*/ 2111829 w 2264229"/>
              <a:gd name="connsiteY62" fmla="*/ 391885 h 1723571"/>
              <a:gd name="connsiteX63" fmla="*/ 2188029 w 2264229"/>
              <a:gd name="connsiteY63" fmla="*/ 446314 h 1723571"/>
              <a:gd name="connsiteX64" fmla="*/ 2198915 w 2264229"/>
              <a:gd name="connsiteY64" fmla="*/ 558800 h 1723571"/>
              <a:gd name="connsiteX65" fmla="*/ 2235200 w 2264229"/>
              <a:gd name="connsiteY65" fmla="*/ 558800 h 1723571"/>
              <a:gd name="connsiteX66" fmla="*/ 2264229 w 2264229"/>
              <a:gd name="connsiteY66" fmla="*/ 613228 h 1723571"/>
              <a:gd name="connsiteX67" fmla="*/ 2206172 w 2264229"/>
              <a:gd name="connsiteY67" fmla="*/ 620485 h 1723571"/>
              <a:gd name="connsiteX68" fmla="*/ 2151743 w 2264229"/>
              <a:gd name="connsiteY68" fmla="*/ 678542 h 1723571"/>
              <a:gd name="connsiteX69" fmla="*/ 2140858 w 2264229"/>
              <a:gd name="connsiteY69" fmla="*/ 725714 h 1723571"/>
              <a:gd name="connsiteX70" fmla="*/ 2198915 w 2264229"/>
              <a:gd name="connsiteY70" fmla="*/ 751114 h 1723571"/>
              <a:gd name="connsiteX71" fmla="*/ 2162629 w 2264229"/>
              <a:gd name="connsiteY71" fmla="*/ 783771 h 1723571"/>
              <a:gd name="connsiteX72" fmla="*/ 2166258 w 2264229"/>
              <a:gd name="connsiteY72" fmla="*/ 823685 h 1723571"/>
              <a:gd name="connsiteX73" fmla="*/ 2013858 w 2264229"/>
              <a:gd name="connsiteY73" fmla="*/ 1019628 h 1723571"/>
              <a:gd name="connsiteX74" fmla="*/ 1912258 w 2264229"/>
              <a:gd name="connsiteY74" fmla="*/ 1081314 h 1723571"/>
              <a:gd name="connsiteX75" fmla="*/ 1923143 w 2264229"/>
              <a:gd name="connsiteY75" fmla="*/ 1197428 h 1723571"/>
              <a:gd name="connsiteX76" fmla="*/ 1778000 w 2264229"/>
              <a:gd name="connsiteY76" fmla="*/ 1338942 h 1723571"/>
              <a:gd name="connsiteX77" fmla="*/ 1730829 w 2264229"/>
              <a:gd name="connsiteY77" fmla="*/ 1491342 h 1723571"/>
              <a:gd name="connsiteX78" fmla="*/ 1680029 w 2264229"/>
              <a:gd name="connsiteY78" fmla="*/ 1571171 h 1723571"/>
              <a:gd name="connsiteX79" fmla="*/ 1596572 w 2264229"/>
              <a:gd name="connsiteY79" fmla="*/ 1618342 h 1723571"/>
              <a:gd name="connsiteX80" fmla="*/ 1563915 w 2264229"/>
              <a:gd name="connsiteY80" fmla="*/ 1618342 h 1723571"/>
              <a:gd name="connsiteX81" fmla="*/ 1556658 w 2264229"/>
              <a:gd name="connsiteY81" fmla="*/ 1578428 h 1723571"/>
              <a:gd name="connsiteX82" fmla="*/ 1516743 w 2264229"/>
              <a:gd name="connsiteY82" fmla="*/ 1563914 h 1723571"/>
              <a:gd name="connsiteX83" fmla="*/ 1455058 w 2264229"/>
              <a:gd name="connsiteY83" fmla="*/ 1618342 h 1723571"/>
              <a:gd name="connsiteX84" fmla="*/ 1422400 w 2264229"/>
              <a:gd name="connsiteY84" fmla="*/ 1618342 h 1723571"/>
              <a:gd name="connsiteX85" fmla="*/ 1426029 w 2264229"/>
              <a:gd name="connsiteY85" fmla="*/ 1582057 h 1723571"/>
              <a:gd name="connsiteX86" fmla="*/ 1386115 w 2264229"/>
              <a:gd name="connsiteY86" fmla="*/ 1582057 h 1723571"/>
              <a:gd name="connsiteX87" fmla="*/ 1331686 w 2264229"/>
              <a:gd name="connsiteY87" fmla="*/ 1480457 h 1723571"/>
              <a:gd name="connsiteX88" fmla="*/ 1266372 w 2264229"/>
              <a:gd name="connsiteY88" fmla="*/ 1444171 h 1723571"/>
              <a:gd name="connsiteX89" fmla="*/ 1201058 w 2264229"/>
              <a:gd name="connsiteY89" fmla="*/ 1455057 h 1723571"/>
              <a:gd name="connsiteX90" fmla="*/ 1132115 w 2264229"/>
              <a:gd name="connsiteY90" fmla="*/ 1440542 h 1723571"/>
              <a:gd name="connsiteX91" fmla="*/ 1052286 w 2264229"/>
              <a:gd name="connsiteY91" fmla="*/ 1701800 h 1723571"/>
              <a:gd name="connsiteX92" fmla="*/ 986972 w 2264229"/>
              <a:gd name="connsiteY92" fmla="*/ 1607457 h 1723571"/>
              <a:gd name="connsiteX93" fmla="*/ 961572 w 2264229"/>
              <a:gd name="connsiteY93" fmla="*/ 1629228 h 1723571"/>
              <a:gd name="connsiteX94" fmla="*/ 936172 w 2264229"/>
              <a:gd name="connsiteY94" fmla="*/ 1618342 h 1723571"/>
              <a:gd name="connsiteX95" fmla="*/ 903515 w 2264229"/>
              <a:gd name="connsiteY95" fmla="*/ 1636485 h 1723571"/>
              <a:gd name="connsiteX96" fmla="*/ 881743 w 2264229"/>
              <a:gd name="connsiteY96" fmla="*/ 1614714 h 1723571"/>
              <a:gd name="connsiteX97" fmla="*/ 845458 w 2264229"/>
              <a:gd name="connsiteY97" fmla="*/ 1640114 h 1723571"/>
              <a:gd name="connsiteX98" fmla="*/ 841829 w 2264229"/>
              <a:gd name="connsiteY98" fmla="*/ 1680028 h 1723571"/>
              <a:gd name="connsiteX99" fmla="*/ 769258 w 2264229"/>
              <a:gd name="connsiteY99" fmla="*/ 1723571 h 1723571"/>
              <a:gd name="connsiteX100" fmla="*/ 743858 w 2264229"/>
              <a:gd name="connsiteY100" fmla="*/ 1698171 h 1723571"/>
              <a:gd name="connsiteX101" fmla="*/ 653143 w 2264229"/>
              <a:gd name="connsiteY101" fmla="*/ 1719942 h 1723571"/>
              <a:gd name="connsiteX102" fmla="*/ 580572 w 2264229"/>
              <a:gd name="connsiteY102" fmla="*/ 1680028 h 1723571"/>
              <a:gd name="connsiteX103" fmla="*/ 580572 w 2264229"/>
              <a:gd name="connsiteY103" fmla="*/ 1632857 h 1723571"/>
              <a:gd name="connsiteX104" fmla="*/ 624115 w 2264229"/>
              <a:gd name="connsiteY104" fmla="*/ 1589314 h 1723571"/>
              <a:gd name="connsiteX105" fmla="*/ 627743 w 2264229"/>
              <a:gd name="connsiteY105" fmla="*/ 1498600 h 1723571"/>
              <a:gd name="connsiteX106" fmla="*/ 605972 w 2264229"/>
              <a:gd name="connsiteY106" fmla="*/ 1480457 h 1723571"/>
              <a:gd name="connsiteX107" fmla="*/ 511629 w 2264229"/>
              <a:gd name="connsiteY107" fmla="*/ 1440542 h 1723571"/>
              <a:gd name="connsiteX108" fmla="*/ 424543 w 2264229"/>
              <a:gd name="connsiteY108" fmla="*/ 1284514 h 1723571"/>
              <a:gd name="connsiteX109" fmla="*/ 420915 w 2264229"/>
              <a:gd name="connsiteY109" fmla="*/ 1277257 h 1723571"/>
              <a:gd name="connsiteX110" fmla="*/ 344715 w 2264229"/>
              <a:gd name="connsiteY110" fmla="*/ 1349828 h 1723571"/>
              <a:gd name="connsiteX111" fmla="*/ 286658 w 2264229"/>
              <a:gd name="connsiteY111" fmla="*/ 1302657 h 1723571"/>
              <a:gd name="connsiteX112" fmla="*/ 254000 w 2264229"/>
              <a:gd name="connsiteY112" fmla="*/ 1324428 h 1723571"/>
              <a:gd name="connsiteX113" fmla="*/ 185058 w 2264229"/>
              <a:gd name="connsiteY113" fmla="*/ 1320800 h 1723571"/>
              <a:gd name="connsiteX114" fmla="*/ 101600 w 2264229"/>
              <a:gd name="connsiteY114"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30400 w 2264229"/>
              <a:gd name="connsiteY58" fmla="*/ 337457 h 1723571"/>
              <a:gd name="connsiteX59" fmla="*/ 1921823 w 2264229"/>
              <a:gd name="connsiteY59" fmla="*/ 329780 h 1723571"/>
              <a:gd name="connsiteX60" fmla="*/ 1966472 w 2264229"/>
              <a:gd name="connsiteY60" fmla="*/ 308038 h 1723571"/>
              <a:gd name="connsiteX61" fmla="*/ 2093686 w 2264229"/>
              <a:gd name="connsiteY61" fmla="*/ 402771 h 1723571"/>
              <a:gd name="connsiteX62" fmla="*/ 2111829 w 2264229"/>
              <a:gd name="connsiteY62" fmla="*/ 391885 h 1723571"/>
              <a:gd name="connsiteX63" fmla="*/ 2188029 w 2264229"/>
              <a:gd name="connsiteY63" fmla="*/ 446314 h 1723571"/>
              <a:gd name="connsiteX64" fmla="*/ 2198915 w 2264229"/>
              <a:gd name="connsiteY64" fmla="*/ 558800 h 1723571"/>
              <a:gd name="connsiteX65" fmla="*/ 2235200 w 2264229"/>
              <a:gd name="connsiteY65" fmla="*/ 558800 h 1723571"/>
              <a:gd name="connsiteX66" fmla="*/ 2264229 w 2264229"/>
              <a:gd name="connsiteY66" fmla="*/ 613228 h 1723571"/>
              <a:gd name="connsiteX67" fmla="*/ 2206172 w 2264229"/>
              <a:gd name="connsiteY67" fmla="*/ 620485 h 1723571"/>
              <a:gd name="connsiteX68" fmla="*/ 2151743 w 2264229"/>
              <a:gd name="connsiteY68" fmla="*/ 678542 h 1723571"/>
              <a:gd name="connsiteX69" fmla="*/ 2140858 w 2264229"/>
              <a:gd name="connsiteY69" fmla="*/ 725714 h 1723571"/>
              <a:gd name="connsiteX70" fmla="*/ 2198915 w 2264229"/>
              <a:gd name="connsiteY70" fmla="*/ 751114 h 1723571"/>
              <a:gd name="connsiteX71" fmla="*/ 2162629 w 2264229"/>
              <a:gd name="connsiteY71" fmla="*/ 783771 h 1723571"/>
              <a:gd name="connsiteX72" fmla="*/ 2166258 w 2264229"/>
              <a:gd name="connsiteY72" fmla="*/ 823685 h 1723571"/>
              <a:gd name="connsiteX73" fmla="*/ 2013858 w 2264229"/>
              <a:gd name="connsiteY73" fmla="*/ 1019628 h 1723571"/>
              <a:gd name="connsiteX74" fmla="*/ 1912258 w 2264229"/>
              <a:gd name="connsiteY74" fmla="*/ 1081314 h 1723571"/>
              <a:gd name="connsiteX75" fmla="*/ 1923143 w 2264229"/>
              <a:gd name="connsiteY75" fmla="*/ 1197428 h 1723571"/>
              <a:gd name="connsiteX76" fmla="*/ 1778000 w 2264229"/>
              <a:gd name="connsiteY76" fmla="*/ 1338942 h 1723571"/>
              <a:gd name="connsiteX77" fmla="*/ 1730829 w 2264229"/>
              <a:gd name="connsiteY77" fmla="*/ 1491342 h 1723571"/>
              <a:gd name="connsiteX78" fmla="*/ 1680029 w 2264229"/>
              <a:gd name="connsiteY78" fmla="*/ 1571171 h 1723571"/>
              <a:gd name="connsiteX79" fmla="*/ 1596572 w 2264229"/>
              <a:gd name="connsiteY79" fmla="*/ 1618342 h 1723571"/>
              <a:gd name="connsiteX80" fmla="*/ 1563915 w 2264229"/>
              <a:gd name="connsiteY80" fmla="*/ 1618342 h 1723571"/>
              <a:gd name="connsiteX81" fmla="*/ 1556658 w 2264229"/>
              <a:gd name="connsiteY81" fmla="*/ 1578428 h 1723571"/>
              <a:gd name="connsiteX82" fmla="*/ 1516743 w 2264229"/>
              <a:gd name="connsiteY82" fmla="*/ 1563914 h 1723571"/>
              <a:gd name="connsiteX83" fmla="*/ 1455058 w 2264229"/>
              <a:gd name="connsiteY83" fmla="*/ 1618342 h 1723571"/>
              <a:gd name="connsiteX84" fmla="*/ 1422400 w 2264229"/>
              <a:gd name="connsiteY84" fmla="*/ 1618342 h 1723571"/>
              <a:gd name="connsiteX85" fmla="*/ 1426029 w 2264229"/>
              <a:gd name="connsiteY85" fmla="*/ 1582057 h 1723571"/>
              <a:gd name="connsiteX86" fmla="*/ 1386115 w 2264229"/>
              <a:gd name="connsiteY86" fmla="*/ 1582057 h 1723571"/>
              <a:gd name="connsiteX87" fmla="*/ 1331686 w 2264229"/>
              <a:gd name="connsiteY87" fmla="*/ 1480457 h 1723571"/>
              <a:gd name="connsiteX88" fmla="*/ 1266372 w 2264229"/>
              <a:gd name="connsiteY88" fmla="*/ 1444171 h 1723571"/>
              <a:gd name="connsiteX89" fmla="*/ 1201058 w 2264229"/>
              <a:gd name="connsiteY89" fmla="*/ 1455057 h 1723571"/>
              <a:gd name="connsiteX90" fmla="*/ 1132115 w 2264229"/>
              <a:gd name="connsiteY90" fmla="*/ 1440542 h 1723571"/>
              <a:gd name="connsiteX91" fmla="*/ 1052286 w 2264229"/>
              <a:gd name="connsiteY91" fmla="*/ 1701800 h 1723571"/>
              <a:gd name="connsiteX92" fmla="*/ 986972 w 2264229"/>
              <a:gd name="connsiteY92" fmla="*/ 1607457 h 1723571"/>
              <a:gd name="connsiteX93" fmla="*/ 961572 w 2264229"/>
              <a:gd name="connsiteY93" fmla="*/ 1629228 h 1723571"/>
              <a:gd name="connsiteX94" fmla="*/ 936172 w 2264229"/>
              <a:gd name="connsiteY94" fmla="*/ 1618342 h 1723571"/>
              <a:gd name="connsiteX95" fmla="*/ 903515 w 2264229"/>
              <a:gd name="connsiteY95" fmla="*/ 1636485 h 1723571"/>
              <a:gd name="connsiteX96" fmla="*/ 881743 w 2264229"/>
              <a:gd name="connsiteY96" fmla="*/ 1614714 h 1723571"/>
              <a:gd name="connsiteX97" fmla="*/ 845458 w 2264229"/>
              <a:gd name="connsiteY97" fmla="*/ 1640114 h 1723571"/>
              <a:gd name="connsiteX98" fmla="*/ 841829 w 2264229"/>
              <a:gd name="connsiteY98" fmla="*/ 1680028 h 1723571"/>
              <a:gd name="connsiteX99" fmla="*/ 769258 w 2264229"/>
              <a:gd name="connsiteY99" fmla="*/ 1723571 h 1723571"/>
              <a:gd name="connsiteX100" fmla="*/ 743858 w 2264229"/>
              <a:gd name="connsiteY100" fmla="*/ 1698171 h 1723571"/>
              <a:gd name="connsiteX101" fmla="*/ 653143 w 2264229"/>
              <a:gd name="connsiteY101" fmla="*/ 1719942 h 1723571"/>
              <a:gd name="connsiteX102" fmla="*/ 580572 w 2264229"/>
              <a:gd name="connsiteY102" fmla="*/ 1680028 h 1723571"/>
              <a:gd name="connsiteX103" fmla="*/ 580572 w 2264229"/>
              <a:gd name="connsiteY103" fmla="*/ 1632857 h 1723571"/>
              <a:gd name="connsiteX104" fmla="*/ 624115 w 2264229"/>
              <a:gd name="connsiteY104" fmla="*/ 1589314 h 1723571"/>
              <a:gd name="connsiteX105" fmla="*/ 627743 w 2264229"/>
              <a:gd name="connsiteY105" fmla="*/ 1498600 h 1723571"/>
              <a:gd name="connsiteX106" fmla="*/ 605972 w 2264229"/>
              <a:gd name="connsiteY106" fmla="*/ 1480457 h 1723571"/>
              <a:gd name="connsiteX107" fmla="*/ 511629 w 2264229"/>
              <a:gd name="connsiteY107" fmla="*/ 1440542 h 1723571"/>
              <a:gd name="connsiteX108" fmla="*/ 424543 w 2264229"/>
              <a:gd name="connsiteY108" fmla="*/ 1284514 h 1723571"/>
              <a:gd name="connsiteX109" fmla="*/ 420915 w 2264229"/>
              <a:gd name="connsiteY109" fmla="*/ 1277257 h 1723571"/>
              <a:gd name="connsiteX110" fmla="*/ 344715 w 2264229"/>
              <a:gd name="connsiteY110" fmla="*/ 1349828 h 1723571"/>
              <a:gd name="connsiteX111" fmla="*/ 286658 w 2264229"/>
              <a:gd name="connsiteY111" fmla="*/ 1302657 h 1723571"/>
              <a:gd name="connsiteX112" fmla="*/ 254000 w 2264229"/>
              <a:gd name="connsiteY112" fmla="*/ 1324428 h 1723571"/>
              <a:gd name="connsiteX113" fmla="*/ 185058 w 2264229"/>
              <a:gd name="connsiteY113" fmla="*/ 1320800 h 1723571"/>
              <a:gd name="connsiteX114" fmla="*/ 101600 w 2264229"/>
              <a:gd name="connsiteY114"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30400 w 2264229"/>
              <a:gd name="connsiteY58" fmla="*/ 337457 h 1723571"/>
              <a:gd name="connsiteX59" fmla="*/ 1966472 w 2264229"/>
              <a:gd name="connsiteY59" fmla="*/ 308038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3772 w 2264229"/>
              <a:gd name="connsiteY29" fmla="*/ 333828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18871 w 2264229"/>
              <a:gd name="connsiteY58" fmla="*/ 333633 h 1723571"/>
              <a:gd name="connsiteX59" fmla="*/ 1966472 w 2264229"/>
              <a:gd name="connsiteY59" fmla="*/ 308038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1850 w 2264229"/>
              <a:gd name="connsiteY29" fmla="*/ 324269 h 1723571"/>
              <a:gd name="connsiteX30" fmla="*/ 852715 w 2264229"/>
              <a:gd name="connsiteY30" fmla="*/ 315685 h 1723571"/>
              <a:gd name="connsiteX31" fmla="*/ 925286 w 2264229"/>
              <a:gd name="connsiteY31" fmla="*/ 272142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18871 w 2264229"/>
              <a:gd name="connsiteY58" fmla="*/ 333633 h 1723571"/>
              <a:gd name="connsiteX59" fmla="*/ 1966472 w 2264229"/>
              <a:gd name="connsiteY59" fmla="*/ 308038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7572 w 2264229"/>
              <a:gd name="connsiteY27" fmla="*/ 344714 h 1723571"/>
              <a:gd name="connsiteX28" fmla="*/ 754743 w 2264229"/>
              <a:gd name="connsiteY28" fmla="*/ 359228 h 1723571"/>
              <a:gd name="connsiteX29" fmla="*/ 781850 w 2264229"/>
              <a:gd name="connsiteY29" fmla="*/ 324269 h 1723571"/>
              <a:gd name="connsiteX30" fmla="*/ 852715 w 2264229"/>
              <a:gd name="connsiteY30" fmla="*/ 315685 h 1723571"/>
              <a:gd name="connsiteX31" fmla="*/ 906070 w 2264229"/>
              <a:gd name="connsiteY31" fmla="*/ 264496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18871 w 2264229"/>
              <a:gd name="connsiteY58" fmla="*/ 333633 h 1723571"/>
              <a:gd name="connsiteX59" fmla="*/ 1966472 w 2264229"/>
              <a:gd name="connsiteY59" fmla="*/ 308038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47915 w 2264229"/>
              <a:gd name="connsiteY26" fmla="*/ 359228 h 1723571"/>
              <a:gd name="connsiteX27" fmla="*/ 701807 w 2264229"/>
              <a:gd name="connsiteY27" fmla="*/ 337068 h 1723571"/>
              <a:gd name="connsiteX28" fmla="*/ 754743 w 2264229"/>
              <a:gd name="connsiteY28" fmla="*/ 359228 h 1723571"/>
              <a:gd name="connsiteX29" fmla="*/ 781850 w 2264229"/>
              <a:gd name="connsiteY29" fmla="*/ 324269 h 1723571"/>
              <a:gd name="connsiteX30" fmla="*/ 852715 w 2264229"/>
              <a:gd name="connsiteY30" fmla="*/ 315685 h 1723571"/>
              <a:gd name="connsiteX31" fmla="*/ 906070 w 2264229"/>
              <a:gd name="connsiteY31" fmla="*/ 264496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18871 w 2264229"/>
              <a:gd name="connsiteY58" fmla="*/ 333633 h 1723571"/>
              <a:gd name="connsiteX59" fmla="*/ 1966472 w 2264229"/>
              <a:gd name="connsiteY59" fmla="*/ 308038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59445 w 2264229"/>
              <a:gd name="connsiteY26" fmla="*/ 353493 h 1723571"/>
              <a:gd name="connsiteX27" fmla="*/ 701807 w 2264229"/>
              <a:gd name="connsiteY27" fmla="*/ 337068 h 1723571"/>
              <a:gd name="connsiteX28" fmla="*/ 754743 w 2264229"/>
              <a:gd name="connsiteY28" fmla="*/ 359228 h 1723571"/>
              <a:gd name="connsiteX29" fmla="*/ 781850 w 2264229"/>
              <a:gd name="connsiteY29" fmla="*/ 324269 h 1723571"/>
              <a:gd name="connsiteX30" fmla="*/ 852715 w 2264229"/>
              <a:gd name="connsiteY30" fmla="*/ 315685 h 1723571"/>
              <a:gd name="connsiteX31" fmla="*/ 906070 w 2264229"/>
              <a:gd name="connsiteY31" fmla="*/ 264496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18871 w 2264229"/>
              <a:gd name="connsiteY58" fmla="*/ 333633 h 1723571"/>
              <a:gd name="connsiteX59" fmla="*/ 1966472 w 2264229"/>
              <a:gd name="connsiteY59" fmla="*/ 308038 h 1723571"/>
              <a:gd name="connsiteX60" fmla="*/ 2093686 w 2264229"/>
              <a:gd name="connsiteY60" fmla="*/ 402771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59445 w 2264229"/>
              <a:gd name="connsiteY26" fmla="*/ 353493 h 1723571"/>
              <a:gd name="connsiteX27" fmla="*/ 701807 w 2264229"/>
              <a:gd name="connsiteY27" fmla="*/ 337068 h 1723571"/>
              <a:gd name="connsiteX28" fmla="*/ 754743 w 2264229"/>
              <a:gd name="connsiteY28" fmla="*/ 359228 h 1723571"/>
              <a:gd name="connsiteX29" fmla="*/ 781850 w 2264229"/>
              <a:gd name="connsiteY29" fmla="*/ 324269 h 1723571"/>
              <a:gd name="connsiteX30" fmla="*/ 852715 w 2264229"/>
              <a:gd name="connsiteY30" fmla="*/ 315685 h 1723571"/>
              <a:gd name="connsiteX31" fmla="*/ 906070 w 2264229"/>
              <a:gd name="connsiteY31" fmla="*/ 264496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18871 w 2264229"/>
              <a:gd name="connsiteY58" fmla="*/ 333633 h 1723571"/>
              <a:gd name="connsiteX59" fmla="*/ 1966472 w 2264229"/>
              <a:gd name="connsiteY59" fmla="*/ 308038 h 1723571"/>
              <a:gd name="connsiteX60" fmla="*/ 2055255 w 2264229"/>
              <a:gd name="connsiteY60" fmla="*/ 381744 h 1723571"/>
              <a:gd name="connsiteX61" fmla="*/ 2111829 w 2264229"/>
              <a:gd name="connsiteY61" fmla="*/ 39188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1600 w 2264229"/>
              <a:gd name="connsiteY0" fmla="*/ 1244600 h 1723571"/>
              <a:gd name="connsiteX1" fmla="*/ 127000 w 2264229"/>
              <a:gd name="connsiteY1" fmla="*/ 1059542 h 1723571"/>
              <a:gd name="connsiteX2" fmla="*/ 97972 w 2264229"/>
              <a:gd name="connsiteY2" fmla="*/ 1030514 h 1723571"/>
              <a:gd name="connsiteX3" fmla="*/ 94343 w 2264229"/>
              <a:gd name="connsiteY3" fmla="*/ 979714 h 1723571"/>
              <a:gd name="connsiteX4" fmla="*/ 50800 w 2264229"/>
              <a:gd name="connsiteY4" fmla="*/ 859971 h 1723571"/>
              <a:gd name="connsiteX5" fmla="*/ 14515 w 2264229"/>
              <a:gd name="connsiteY5" fmla="*/ 838200 h 1723571"/>
              <a:gd name="connsiteX6" fmla="*/ 32658 w 2264229"/>
              <a:gd name="connsiteY6" fmla="*/ 765628 h 1723571"/>
              <a:gd name="connsiteX7" fmla="*/ 14515 w 2264229"/>
              <a:gd name="connsiteY7" fmla="*/ 700314 h 1723571"/>
              <a:gd name="connsiteX8" fmla="*/ 18143 w 2264229"/>
              <a:gd name="connsiteY8" fmla="*/ 656771 h 1723571"/>
              <a:gd name="connsiteX9" fmla="*/ 61686 w 2264229"/>
              <a:gd name="connsiteY9" fmla="*/ 638628 h 1723571"/>
              <a:gd name="connsiteX10" fmla="*/ 36286 w 2264229"/>
              <a:gd name="connsiteY10" fmla="*/ 566057 h 1723571"/>
              <a:gd name="connsiteX11" fmla="*/ 0 w 2264229"/>
              <a:gd name="connsiteY11" fmla="*/ 526142 h 1723571"/>
              <a:gd name="connsiteX12" fmla="*/ 83458 w 2264229"/>
              <a:gd name="connsiteY12" fmla="*/ 460828 h 1723571"/>
              <a:gd name="connsiteX13" fmla="*/ 83458 w 2264229"/>
              <a:gd name="connsiteY13" fmla="*/ 449942 h 1723571"/>
              <a:gd name="connsiteX14" fmla="*/ 68943 w 2264229"/>
              <a:gd name="connsiteY14" fmla="*/ 420914 h 1723571"/>
              <a:gd name="connsiteX15" fmla="*/ 134258 w 2264229"/>
              <a:gd name="connsiteY15" fmla="*/ 344714 h 1723571"/>
              <a:gd name="connsiteX16" fmla="*/ 134258 w 2264229"/>
              <a:gd name="connsiteY16" fmla="*/ 290285 h 1723571"/>
              <a:gd name="connsiteX17" fmla="*/ 43543 w 2264229"/>
              <a:gd name="connsiteY17" fmla="*/ 185057 h 1723571"/>
              <a:gd name="connsiteX18" fmla="*/ 90715 w 2264229"/>
              <a:gd name="connsiteY18" fmla="*/ 116114 h 1723571"/>
              <a:gd name="connsiteX19" fmla="*/ 87086 w 2264229"/>
              <a:gd name="connsiteY19" fmla="*/ 43542 h 1723571"/>
              <a:gd name="connsiteX20" fmla="*/ 275772 w 2264229"/>
              <a:gd name="connsiteY20" fmla="*/ 0 h 1723571"/>
              <a:gd name="connsiteX21" fmla="*/ 341086 w 2264229"/>
              <a:gd name="connsiteY21" fmla="*/ 29028 h 1723571"/>
              <a:gd name="connsiteX22" fmla="*/ 395515 w 2264229"/>
              <a:gd name="connsiteY22" fmla="*/ 97971 h 1723571"/>
              <a:gd name="connsiteX23" fmla="*/ 424543 w 2264229"/>
              <a:gd name="connsiteY23" fmla="*/ 195942 h 1723571"/>
              <a:gd name="connsiteX24" fmla="*/ 453572 w 2264229"/>
              <a:gd name="connsiteY24" fmla="*/ 181428 h 1723571"/>
              <a:gd name="connsiteX25" fmla="*/ 489858 w 2264229"/>
              <a:gd name="connsiteY25" fmla="*/ 199571 h 1723571"/>
              <a:gd name="connsiteX26" fmla="*/ 559445 w 2264229"/>
              <a:gd name="connsiteY26" fmla="*/ 353493 h 1723571"/>
              <a:gd name="connsiteX27" fmla="*/ 701807 w 2264229"/>
              <a:gd name="connsiteY27" fmla="*/ 337068 h 1723571"/>
              <a:gd name="connsiteX28" fmla="*/ 754743 w 2264229"/>
              <a:gd name="connsiteY28" fmla="*/ 359228 h 1723571"/>
              <a:gd name="connsiteX29" fmla="*/ 781850 w 2264229"/>
              <a:gd name="connsiteY29" fmla="*/ 324269 h 1723571"/>
              <a:gd name="connsiteX30" fmla="*/ 852715 w 2264229"/>
              <a:gd name="connsiteY30" fmla="*/ 315685 h 1723571"/>
              <a:gd name="connsiteX31" fmla="*/ 906070 w 2264229"/>
              <a:gd name="connsiteY31" fmla="*/ 264496 h 1723571"/>
              <a:gd name="connsiteX32" fmla="*/ 1001486 w 2264229"/>
              <a:gd name="connsiteY32" fmla="*/ 297542 h 1723571"/>
              <a:gd name="connsiteX33" fmla="*/ 1023258 w 2264229"/>
              <a:gd name="connsiteY33" fmla="*/ 319314 h 1723571"/>
              <a:gd name="connsiteX34" fmla="*/ 1055915 w 2264229"/>
              <a:gd name="connsiteY34" fmla="*/ 337457 h 1723571"/>
              <a:gd name="connsiteX35" fmla="*/ 1048658 w 2264229"/>
              <a:gd name="connsiteY35" fmla="*/ 373742 h 1723571"/>
              <a:gd name="connsiteX36" fmla="*/ 1099458 w 2264229"/>
              <a:gd name="connsiteY36" fmla="*/ 377371 h 1723571"/>
              <a:gd name="connsiteX37" fmla="*/ 1117600 w 2264229"/>
              <a:gd name="connsiteY37" fmla="*/ 424542 h 1723571"/>
              <a:gd name="connsiteX38" fmla="*/ 1117600 w 2264229"/>
              <a:gd name="connsiteY38" fmla="*/ 431800 h 1723571"/>
              <a:gd name="connsiteX39" fmla="*/ 1095829 w 2264229"/>
              <a:gd name="connsiteY39" fmla="*/ 468085 h 1723571"/>
              <a:gd name="connsiteX40" fmla="*/ 1110343 w 2264229"/>
              <a:gd name="connsiteY40" fmla="*/ 518885 h 1723571"/>
              <a:gd name="connsiteX41" fmla="*/ 1161143 w 2264229"/>
              <a:gd name="connsiteY41" fmla="*/ 540657 h 1723571"/>
              <a:gd name="connsiteX42" fmla="*/ 1248229 w 2264229"/>
              <a:gd name="connsiteY42" fmla="*/ 562428 h 1723571"/>
              <a:gd name="connsiteX43" fmla="*/ 1262743 w 2264229"/>
              <a:gd name="connsiteY43" fmla="*/ 566057 h 1723571"/>
              <a:gd name="connsiteX44" fmla="*/ 1270000 w 2264229"/>
              <a:gd name="connsiteY44" fmla="*/ 605971 h 1723571"/>
              <a:gd name="connsiteX45" fmla="*/ 1327629 w 2264229"/>
              <a:gd name="connsiteY45" fmla="*/ 578660 h 1723571"/>
              <a:gd name="connsiteX46" fmla="*/ 1339865 w 2264229"/>
              <a:gd name="connsiteY46" fmla="*/ 539147 h 1723571"/>
              <a:gd name="connsiteX47" fmla="*/ 1417059 w 2264229"/>
              <a:gd name="connsiteY47" fmla="*/ 511628 h 1723571"/>
              <a:gd name="connsiteX48" fmla="*/ 1462100 w 2264229"/>
              <a:gd name="connsiteY48" fmla="*/ 524037 h 1723571"/>
              <a:gd name="connsiteX49" fmla="*/ 1485365 w 2264229"/>
              <a:gd name="connsiteY49" fmla="*/ 500354 h 1723571"/>
              <a:gd name="connsiteX50" fmla="*/ 1481777 w 2264229"/>
              <a:gd name="connsiteY50" fmla="*/ 440654 h 1723571"/>
              <a:gd name="connsiteX51" fmla="*/ 1516536 w 2264229"/>
              <a:gd name="connsiteY51" fmla="*/ 371903 h 1723571"/>
              <a:gd name="connsiteX52" fmla="*/ 1547050 w 2264229"/>
              <a:gd name="connsiteY52" fmla="*/ 380416 h 1723571"/>
              <a:gd name="connsiteX53" fmla="*/ 1583907 w 2264229"/>
              <a:gd name="connsiteY53" fmla="*/ 312464 h 1723571"/>
              <a:gd name="connsiteX54" fmla="*/ 1690056 w 2264229"/>
              <a:gd name="connsiteY54" fmla="*/ 250177 h 1723571"/>
              <a:gd name="connsiteX55" fmla="*/ 1772022 w 2264229"/>
              <a:gd name="connsiteY55" fmla="*/ 302304 h 1723571"/>
              <a:gd name="connsiteX56" fmla="*/ 1831507 w 2264229"/>
              <a:gd name="connsiteY56" fmla="*/ 291547 h 1723571"/>
              <a:gd name="connsiteX57" fmla="*/ 1850572 w 2264229"/>
              <a:gd name="connsiteY57" fmla="*/ 293914 h 1723571"/>
              <a:gd name="connsiteX58" fmla="*/ 1918871 w 2264229"/>
              <a:gd name="connsiteY58" fmla="*/ 333633 h 1723571"/>
              <a:gd name="connsiteX59" fmla="*/ 1966472 w 2264229"/>
              <a:gd name="connsiteY59" fmla="*/ 308038 h 1723571"/>
              <a:gd name="connsiteX60" fmla="*/ 2055255 w 2264229"/>
              <a:gd name="connsiteY60" fmla="*/ 381744 h 1723571"/>
              <a:gd name="connsiteX61" fmla="*/ 2096456 w 2264229"/>
              <a:gd name="connsiteY61" fmla="*/ 380415 h 1723571"/>
              <a:gd name="connsiteX62" fmla="*/ 2188029 w 2264229"/>
              <a:gd name="connsiteY62" fmla="*/ 446314 h 1723571"/>
              <a:gd name="connsiteX63" fmla="*/ 2198915 w 2264229"/>
              <a:gd name="connsiteY63" fmla="*/ 558800 h 1723571"/>
              <a:gd name="connsiteX64" fmla="*/ 2235200 w 2264229"/>
              <a:gd name="connsiteY64" fmla="*/ 558800 h 1723571"/>
              <a:gd name="connsiteX65" fmla="*/ 2264229 w 2264229"/>
              <a:gd name="connsiteY65" fmla="*/ 613228 h 1723571"/>
              <a:gd name="connsiteX66" fmla="*/ 2206172 w 2264229"/>
              <a:gd name="connsiteY66" fmla="*/ 620485 h 1723571"/>
              <a:gd name="connsiteX67" fmla="*/ 2151743 w 2264229"/>
              <a:gd name="connsiteY67" fmla="*/ 678542 h 1723571"/>
              <a:gd name="connsiteX68" fmla="*/ 2140858 w 2264229"/>
              <a:gd name="connsiteY68" fmla="*/ 725714 h 1723571"/>
              <a:gd name="connsiteX69" fmla="*/ 2198915 w 2264229"/>
              <a:gd name="connsiteY69" fmla="*/ 751114 h 1723571"/>
              <a:gd name="connsiteX70" fmla="*/ 2162629 w 2264229"/>
              <a:gd name="connsiteY70" fmla="*/ 783771 h 1723571"/>
              <a:gd name="connsiteX71" fmla="*/ 2166258 w 2264229"/>
              <a:gd name="connsiteY71" fmla="*/ 823685 h 1723571"/>
              <a:gd name="connsiteX72" fmla="*/ 2013858 w 2264229"/>
              <a:gd name="connsiteY72" fmla="*/ 1019628 h 1723571"/>
              <a:gd name="connsiteX73" fmla="*/ 1912258 w 2264229"/>
              <a:gd name="connsiteY73" fmla="*/ 1081314 h 1723571"/>
              <a:gd name="connsiteX74" fmla="*/ 1923143 w 2264229"/>
              <a:gd name="connsiteY74" fmla="*/ 1197428 h 1723571"/>
              <a:gd name="connsiteX75" fmla="*/ 1778000 w 2264229"/>
              <a:gd name="connsiteY75" fmla="*/ 1338942 h 1723571"/>
              <a:gd name="connsiteX76" fmla="*/ 1730829 w 2264229"/>
              <a:gd name="connsiteY76" fmla="*/ 1491342 h 1723571"/>
              <a:gd name="connsiteX77" fmla="*/ 1680029 w 2264229"/>
              <a:gd name="connsiteY77" fmla="*/ 1571171 h 1723571"/>
              <a:gd name="connsiteX78" fmla="*/ 1596572 w 2264229"/>
              <a:gd name="connsiteY78" fmla="*/ 1618342 h 1723571"/>
              <a:gd name="connsiteX79" fmla="*/ 1563915 w 2264229"/>
              <a:gd name="connsiteY79" fmla="*/ 1618342 h 1723571"/>
              <a:gd name="connsiteX80" fmla="*/ 1556658 w 2264229"/>
              <a:gd name="connsiteY80" fmla="*/ 1578428 h 1723571"/>
              <a:gd name="connsiteX81" fmla="*/ 1516743 w 2264229"/>
              <a:gd name="connsiteY81" fmla="*/ 1563914 h 1723571"/>
              <a:gd name="connsiteX82" fmla="*/ 1455058 w 2264229"/>
              <a:gd name="connsiteY82" fmla="*/ 1618342 h 1723571"/>
              <a:gd name="connsiteX83" fmla="*/ 1422400 w 2264229"/>
              <a:gd name="connsiteY83" fmla="*/ 1618342 h 1723571"/>
              <a:gd name="connsiteX84" fmla="*/ 1426029 w 2264229"/>
              <a:gd name="connsiteY84" fmla="*/ 1582057 h 1723571"/>
              <a:gd name="connsiteX85" fmla="*/ 1386115 w 2264229"/>
              <a:gd name="connsiteY85" fmla="*/ 1582057 h 1723571"/>
              <a:gd name="connsiteX86" fmla="*/ 1331686 w 2264229"/>
              <a:gd name="connsiteY86" fmla="*/ 1480457 h 1723571"/>
              <a:gd name="connsiteX87" fmla="*/ 1266372 w 2264229"/>
              <a:gd name="connsiteY87" fmla="*/ 1444171 h 1723571"/>
              <a:gd name="connsiteX88" fmla="*/ 1201058 w 2264229"/>
              <a:gd name="connsiteY88" fmla="*/ 1455057 h 1723571"/>
              <a:gd name="connsiteX89" fmla="*/ 1132115 w 2264229"/>
              <a:gd name="connsiteY89" fmla="*/ 1440542 h 1723571"/>
              <a:gd name="connsiteX90" fmla="*/ 1052286 w 2264229"/>
              <a:gd name="connsiteY90" fmla="*/ 1701800 h 1723571"/>
              <a:gd name="connsiteX91" fmla="*/ 986972 w 2264229"/>
              <a:gd name="connsiteY91" fmla="*/ 1607457 h 1723571"/>
              <a:gd name="connsiteX92" fmla="*/ 961572 w 2264229"/>
              <a:gd name="connsiteY92" fmla="*/ 1629228 h 1723571"/>
              <a:gd name="connsiteX93" fmla="*/ 936172 w 2264229"/>
              <a:gd name="connsiteY93" fmla="*/ 1618342 h 1723571"/>
              <a:gd name="connsiteX94" fmla="*/ 903515 w 2264229"/>
              <a:gd name="connsiteY94" fmla="*/ 1636485 h 1723571"/>
              <a:gd name="connsiteX95" fmla="*/ 881743 w 2264229"/>
              <a:gd name="connsiteY95" fmla="*/ 1614714 h 1723571"/>
              <a:gd name="connsiteX96" fmla="*/ 845458 w 2264229"/>
              <a:gd name="connsiteY96" fmla="*/ 1640114 h 1723571"/>
              <a:gd name="connsiteX97" fmla="*/ 841829 w 2264229"/>
              <a:gd name="connsiteY97" fmla="*/ 1680028 h 1723571"/>
              <a:gd name="connsiteX98" fmla="*/ 769258 w 2264229"/>
              <a:gd name="connsiteY98" fmla="*/ 1723571 h 1723571"/>
              <a:gd name="connsiteX99" fmla="*/ 743858 w 2264229"/>
              <a:gd name="connsiteY99" fmla="*/ 1698171 h 1723571"/>
              <a:gd name="connsiteX100" fmla="*/ 653143 w 2264229"/>
              <a:gd name="connsiteY100" fmla="*/ 1719942 h 1723571"/>
              <a:gd name="connsiteX101" fmla="*/ 580572 w 2264229"/>
              <a:gd name="connsiteY101" fmla="*/ 1680028 h 1723571"/>
              <a:gd name="connsiteX102" fmla="*/ 580572 w 2264229"/>
              <a:gd name="connsiteY102" fmla="*/ 1632857 h 1723571"/>
              <a:gd name="connsiteX103" fmla="*/ 624115 w 2264229"/>
              <a:gd name="connsiteY103" fmla="*/ 1589314 h 1723571"/>
              <a:gd name="connsiteX104" fmla="*/ 627743 w 2264229"/>
              <a:gd name="connsiteY104" fmla="*/ 1498600 h 1723571"/>
              <a:gd name="connsiteX105" fmla="*/ 605972 w 2264229"/>
              <a:gd name="connsiteY105" fmla="*/ 1480457 h 1723571"/>
              <a:gd name="connsiteX106" fmla="*/ 511629 w 2264229"/>
              <a:gd name="connsiteY106" fmla="*/ 1440542 h 1723571"/>
              <a:gd name="connsiteX107" fmla="*/ 424543 w 2264229"/>
              <a:gd name="connsiteY107" fmla="*/ 1284514 h 1723571"/>
              <a:gd name="connsiteX108" fmla="*/ 420915 w 2264229"/>
              <a:gd name="connsiteY108" fmla="*/ 1277257 h 1723571"/>
              <a:gd name="connsiteX109" fmla="*/ 344715 w 2264229"/>
              <a:gd name="connsiteY109" fmla="*/ 1349828 h 1723571"/>
              <a:gd name="connsiteX110" fmla="*/ 286658 w 2264229"/>
              <a:gd name="connsiteY110" fmla="*/ 1302657 h 1723571"/>
              <a:gd name="connsiteX111" fmla="*/ 254000 w 2264229"/>
              <a:gd name="connsiteY111" fmla="*/ 1324428 h 1723571"/>
              <a:gd name="connsiteX112" fmla="*/ 185058 w 2264229"/>
              <a:gd name="connsiteY112" fmla="*/ 1320800 h 1723571"/>
              <a:gd name="connsiteX113" fmla="*/ 101600 w 2264229"/>
              <a:gd name="connsiteY113" fmla="*/ 1244600 h 1723571"/>
              <a:gd name="connsiteX0" fmla="*/ 103979 w 2266608"/>
              <a:gd name="connsiteY0" fmla="*/ 1244600 h 1723571"/>
              <a:gd name="connsiteX1" fmla="*/ 129379 w 2266608"/>
              <a:gd name="connsiteY1" fmla="*/ 1059542 h 1723571"/>
              <a:gd name="connsiteX2" fmla="*/ 100351 w 2266608"/>
              <a:gd name="connsiteY2" fmla="*/ 1030514 h 1723571"/>
              <a:gd name="connsiteX3" fmla="*/ 96722 w 2266608"/>
              <a:gd name="connsiteY3" fmla="*/ 979714 h 1723571"/>
              <a:gd name="connsiteX4" fmla="*/ 53179 w 2266608"/>
              <a:gd name="connsiteY4" fmla="*/ 859971 h 1723571"/>
              <a:gd name="connsiteX5" fmla="*/ 0 w 2266608"/>
              <a:gd name="connsiteY5" fmla="*/ 842423 h 1723571"/>
              <a:gd name="connsiteX6" fmla="*/ 35037 w 2266608"/>
              <a:gd name="connsiteY6" fmla="*/ 765628 h 1723571"/>
              <a:gd name="connsiteX7" fmla="*/ 16894 w 2266608"/>
              <a:gd name="connsiteY7" fmla="*/ 700314 h 1723571"/>
              <a:gd name="connsiteX8" fmla="*/ 20522 w 2266608"/>
              <a:gd name="connsiteY8" fmla="*/ 656771 h 1723571"/>
              <a:gd name="connsiteX9" fmla="*/ 64065 w 2266608"/>
              <a:gd name="connsiteY9" fmla="*/ 638628 h 1723571"/>
              <a:gd name="connsiteX10" fmla="*/ 38665 w 2266608"/>
              <a:gd name="connsiteY10" fmla="*/ 566057 h 1723571"/>
              <a:gd name="connsiteX11" fmla="*/ 2379 w 2266608"/>
              <a:gd name="connsiteY11" fmla="*/ 526142 h 1723571"/>
              <a:gd name="connsiteX12" fmla="*/ 85837 w 2266608"/>
              <a:gd name="connsiteY12" fmla="*/ 460828 h 1723571"/>
              <a:gd name="connsiteX13" fmla="*/ 85837 w 2266608"/>
              <a:gd name="connsiteY13" fmla="*/ 449942 h 1723571"/>
              <a:gd name="connsiteX14" fmla="*/ 71322 w 2266608"/>
              <a:gd name="connsiteY14" fmla="*/ 420914 h 1723571"/>
              <a:gd name="connsiteX15" fmla="*/ 136637 w 2266608"/>
              <a:gd name="connsiteY15" fmla="*/ 344714 h 1723571"/>
              <a:gd name="connsiteX16" fmla="*/ 136637 w 2266608"/>
              <a:gd name="connsiteY16" fmla="*/ 290285 h 1723571"/>
              <a:gd name="connsiteX17" fmla="*/ 45922 w 2266608"/>
              <a:gd name="connsiteY17" fmla="*/ 185057 h 1723571"/>
              <a:gd name="connsiteX18" fmla="*/ 93094 w 2266608"/>
              <a:gd name="connsiteY18" fmla="*/ 116114 h 1723571"/>
              <a:gd name="connsiteX19" fmla="*/ 89465 w 2266608"/>
              <a:gd name="connsiteY19" fmla="*/ 43542 h 1723571"/>
              <a:gd name="connsiteX20" fmla="*/ 278151 w 2266608"/>
              <a:gd name="connsiteY20" fmla="*/ 0 h 1723571"/>
              <a:gd name="connsiteX21" fmla="*/ 343465 w 2266608"/>
              <a:gd name="connsiteY21" fmla="*/ 29028 h 1723571"/>
              <a:gd name="connsiteX22" fmla="*/ 397894 w 2266608"/>
              <a:gd name="connsiteY22" fmla="*/ 97971 h 1723571"/>
              <a:gd name="connsiteX23" fmla="*/ 426922 w 2266608"/>
              <a:gd name="connsiteY23" fmla="*/ 195942 h 1723571"/>
              <a:gd name="connsiteX24" fmla="*/ 455951 w 2266608"/>
              <a:gd name="connsiteY24" fmla="*/ 181428 h 1723571"/>
              <a:gd name="connsiteX25" fmla="*/ 492237 w 2266608"/>
              <a:gd name="connsiteY25" fmla="*/ 199571 h 1723571"/>
              <a:gd name="connsiteX26" fmla="*/ 561824 w 2266608"/>
              <a:gd name="connsiteY26" fmla="*/ 353493 h 1723571"/>
              <a:gd name="connsiteX27" fmla="*/ 704186 w 2266608"/>
              <a:gd name="connsiteY27" fmla="*/ 337068 h 1723571"/>
              <a:gd name="connsiteX28" fmla="*/ 757122 w 2266608"/>
              <a:gd name="connsiteY28" fmla="*/ 359228 h 1723571"/>
              <a:gd name="connsiteX29" fmla="*/ 784229 w 2266608"/>
              <a:gd name="connsiteY29" fmla="*/ 324269 h 1723571"/>
              <a:gd name="connsiteX30" fmla="*/ 855094 w 2266608"/>
              <a:gd name="connsiteY30" fmla="*/ 315685 h 1723571"/>
              <a:gd name="connsiteX31" fmla="*/ 908449 w 2266608"/>
              <a:gd name="connsiteY31" fmla="*/ 264496 h 1723571"/>
              <a:gd name="connsiteX32" fmla="*/ 1003865 w 2266608"/>
              <a:gd name="connsiteY32" fmla="*/ 297542 h 1723571"/>
              <a:gd name="connsiteX33" fmla="*/ 1025637 w 2266608"/>
              <a:gd name="connsiteY33" fmla="*/ 319314 h 1723571"/>
              <a:gd name="connsiteX34" fmla="*/ 1058294 w 2266608"/>
              <a:gd name="connsiteY34" fmla="*/ 337457 h 1723571"/>
              <a:gd name="connsiteX35" fmla="*/ 1051037 w 2266608"/>
              <a:gd name="connsiteY35" fmla="*/ 373742 h 1723571"/>
              <a:gd name="connsiteX36" fmla="*/ 1101837 w 2266608"/>
              <a:gd name="connsiteY36" fmla="*/ 377371 h 1723571"/>
              <a:gd name="connsiteX37" fmla="*/ 1119979 w 2266608"/>
              <a:gd name="connsiteY37" fmla="*/ 424542 h 1723571"/>
              <a:gd name="connsiteX38" fmla="*/ 1119979 w 2266608"/>
              <a:gd name="connsiteY38" fmla="*/ 431800 h 1723571"/>
              <a:gd name="connsiteX39" fmla="*/ 1098208 w 2266608"/>
              <a:gd name="connsiteY39" fmla="*/ 468085 h 1723571"/>
              <a:gd name="connsiteX40" fmla="*/ 1112722 w 2266608"/>
              <a:gd name="connsiteY40" fmla="*/ 518885 h 1723571"/>
              <a:gd name="connsiteX41" fmla="*/ 1163522 w 2266608"/>
              <a:gd name="connsiteY41" fmla="*/ 540657 h 1723571"/>
              <a:gd name="connsiteX42" fmla="*/ 1250608 w 2266608"/>
              <a:gd name="connsiteY42" fmla="*/ 562428 h 1723571"/>
              <a:gd name="connsiteX43" fmla="*/ 1265122 w 2266608"/>
              <a:gd name="connsiteY43" fmla="*/ 566057 h 1723571"/>
              <a:gd name="connsiteX44" fmla="*/ 1272379 w 2266608"/>
              <a:gd name="connsiteY44" fmla="*/ 605971 h 1723571"/>
              <a:gd name="connsiteX45" fmla="*/ 1330008 w 2266608"/>
              <a:gd name="connsiteY45" fmla="*/ 578660 h 1723571"/>
              <a:gd name="connsiteX46" fmla="*/ 1342244 w 2266608"/>
              <a:gd name="connsiteY46" fmla="*/ 539147 h 1723571"/>
              <a:gd name="connsiteX47" fmla="*/ 1419438 w 2266608"/>
              <a:gd name="connsiteY47" fmla="*/ 511628 h 1723571"/>
              <a:gd name="connsiteX48" fmla="*/ 1464479 w 2266608"/>
              <a:gd name="connsiteY48" fmla="*/ 524037 h 1723571"/>
              <a:gd name="connsiteX49" fmla="*/ 1487744 w 2266608"/>
              <a:gd name="connsiteY49" fmla="*/ 500354 h 1723571"/>
              <a:gd name="connsiteX50" fmla="*/ 1484156 w 2266608"/>
              <a:gd name="connsiteY50" fmla="*/ 440654 h 1723571"/>
              <a:gd name="connsiteX51" fmla="*/ 1518915 w 2266608"/>
              <a:gd name="connsiteY51" fmla="*/ 371903 h 1723571"/>
              <a:gd name="connsiteX52" fmla="*/ 1549429 w 2266608"/>
              <a:gd name="connsiteY52" fmla="*/ 380416 h 1723571"/>
              <a:gd name="connsiteX53" fmla="*/ 1586286 w 2266608"/>
              <a:gd name="connsiteY53" fmla="*/ 312464 h 1723571"/>
              <a:gd name="connsiteX54" fmla="*/ 1692435 w 2266608"/>
              <a:gd name="connsiteY54" fmla="*/ 250177 h 1723571"/>
              <a:gd name="connsiteX55" fmla="*/ 1774401 w 2266608"/>
              <a:gd name="connsiteY55" fmla="*/ 302304 h 1723571"/>
              <a:gd name="connsiteX56" fmla="*/ 1833886 w 2266608"/>
              <a:gd name="connsiteY56" fmla="*/ 291547 h 1723571"/>
              <a:gd name="connsiteX57" fmla="*/ 1852951 w 2266608"/>
              <a:gd name="connsiteY57" fmla="*/ 293914 h 1723571"/>
              <a:gd name="connsiteX58" fmla="*/ 1921250 w 2266608"/>
              <a:gd name="connsiteY58" fmla="*/ 333633 h 1723571"/>
              <a:gd name="connsiteX59" fmla="*/ 1968851 w 2266608"/>
              <a:gd name="connsiteY59" fmla="*/ 308038 h 1723571"/>
              <a:gd name="connsiteX60" fmla="*/ 2057634 w 2266608"/>
              <a:gd name="connsiteY60" fmla="*/ 381744 h 1723571"/>
              <a:gd name="connsiteX61" fmla="*/ 2098835 w 2266608"/>
              <a:gd name="connsiteY61" fmla="*/ 380415 h 1723571"/>
              <a:gd name="connsiteX62" fmla="*/ 2190408 w 2266608"/>
              <a:gd name="connsiteY62" fmla="*/ 446314 h 1723571"/>
              <a:gd name="connsiteX63" fmla="*/ 2201294 w 2266608"/>
              <a:gd name="connsiteY63" fmla="*/ 558800 h 1723571"/>
              <a:gd name="connsiteX64" fmla="*/ 2237579 w 2266608"/>
              <a:gd name="connsiteY64" fmla="*/ 558800 h 1723571"/>
              <a:gd name="connsiteX65" fmla="*/ 2266608 w 2266608"/>
              <a:gd name="connsiteY65" fmla="*/ 613228 h 1723571"/>
              <a:gd name="connsiteX66" fmla="*/ 2208551 w 2266608"/>
              <a:gd name="connsiteY66" fmla="*/ 620485 h 1723571"/>
              <a:gd name="connsiteX67" fmla="*/ 2154122 w 2266608"/>
              <a:gd name="connsiteY67" fmla="*/ 678542 h 1723571"/>
              <a:gd name="connsiteX68" fmla="*/ 2143237 w 2266608"/>
              <a:gd name="connsiteY68" fmla="*/ 725714 h 1723571"/>
              <a:gd name="connsiteX69" fmla="*/ 2201294 w 2266608"/>
              <a:gd name="connsiteY69" fmla="*/ 751114 h 1723571"/>
              <a:gd name="connsiteX70" fmla="*/ 2165008 w 2266608"/>
              <a:gd name="connsiteY70" fmla="*/ 783771 h 1723571"/>
              <a:gd name="connsiteX71" fmla="*/ 2168637 w 2266608"/>
              <a:gd name="connsiteY71" fmla="*/ 823685 h 1723571"/>
              <a:gd name="connsiteX72" fmla="*/ 2016237 w 2266608"/>
              <a:gd name="connsiteY72" fmla="*/ 1019628 h 1723571"/>
              <a:gd name="connsiteX73" fmla="*/ 1914637 w 2266608"/>
              <a:gd name="connsiteY73" fmla="*/ 1081314 h 1723571"/>
              <a:gd name="connsiteX74" fmla="*/ 1925522 w 2266608"/>
              <a:gd name="connsiteY74" fmla="*/ 1197428 h 1723571"/>
              <a:gd name="connsiteX75" fmla="*/ 1780379 w 2266608"/>
              <a:gd name="connsiteY75" fmla="*/ 1338942 h 1723571"/>
              <a:gd name="connsiteX76" fmla="*/ 1733208 w 2266608"/>
              <a:gd name="connsiteY76" fmla="*/ 1491342 h 1723571"/>
              <a:gd name="connsiteX77" fmla="*/ 1682408 w 2266608"/>
              <a:gd name="connsiteY77" fmla="*/ 1571171 h 1723571"/>
              <a:gd name="connsiteX78" fmla="*/ 1598951 w 2266608"/>
              <a:gd name="connsiteY78" fmla="*/ 1618342 h 1723571"/>
              <a:gd name="connsiteX79" fmla="*/ 1566294 w 2266608"/>
              <a:gd name="connsiteY79" fmla="*/ 1618342 h 1723571"/>
              <a:gd name="connsiteX80" fmla="*/ 1559037 w 2266608"/>
              <a:gd name="connsiteY80" fmla="*/ 1578428 h 1723571"/>
              <a:gd name="connsiteX81" fmla="*/ 1519122 w 2266608"/>
              <a:gd name="connsiteY81" fmla="*/ 1563914 h 1723571"/>
              <a:gd name="connsiteX82" fmla="*/ 1457437 w 2266608"/>
              <a:gd name="connsiteY82" fmla="*/ 1618342 h 1723571"/>
              <a:gd name="connsiteX83" fmla="*/ 1424779 w 2266608"/>
              <a:gd name="connsiteY83" fmla="*/ 1618342 h 1723571"/>
              <a:gd name="connsiteX84" fmla="*/ 1428408 w 2266608"/>
              <a:gd name="connsiteY84" fmla="*/ 1582057 h 1723571"/>
              <a:gd name="connsiteX85" fmla="*/ 1388494 w 2266608"/>
              <a:gd name="connsiteY85" fmla="*/ 1582057 h 1723571"/>
              <a:gd name="connsiteX86" fmla="*/ 1334065 w 2266608"/>
              <a:gd name="connsiteY86" fmla="*/ 1480457 h 1723571"/>
              <a:gd name="connsiteX87" fmla="*/ 1268751 w 2266608"/>
              <a:gd name="connsiteY87" fmla="*/ 1444171 h 1723571"/>
              <a:gd name="connsiteX88" fmla="*/ 1203437 w 2266608"/>
              <a:gd name="connsiteY88" fmla="*/ 1455057 h 1723571"/>
              <a:gd name="connsiteX89" fmla="*/ 1134494 w 2266608"/>
              <a:gd name="connsiteY89" fmla="*/ 1440542 h 1723571"/>
              <a:gd name="connsiteX90" fmla="*/ 1054665 w 2266608"/>
              <a:gd name="connsiteY90" fmla="*/ 1701800 h 1723571"/>
              <a:gd name="connsiteX91" fmla="*/ 989351 w 2266608"/>
              <a:gd name="connsiteY91" fmla="*/ 1607457 h 1723571"/>
              <a:gd name="connsiteX92" fmla="*/ 963951 w 2266608"/>
              <a:gd name="connsiteY92" fmla="*/ 1629228 h 1723571"/>
              <a:gd name="connsiteX93" fmla="*/ 938551 w 2266608"/>
              <a:gd name="connsiteY93" fmla="*/ 1618342 h 1723571"/>
              <a:gd name="connsiteX94" fmla="*/ 905894 w 2266608"/>
              <a:gd name="connsiteY94" fmla="*/ 1636485 h 1723571"/>
              <a:gd name="connsiteX95" fmla="*/ 884122 w 2266608"/>
              <a:gd name="connsiteY95" fmla="*/ 1614714 h 1723571"/>
              <a:gd name="connsiteX96" fmla="*/ 847837 w 2266608"/>
              <a:gd name="connsiteY96" fmla="*/ 1640114 h 1723571"/>
              <a:gd name="connsiteX97" fmla="*/ 844208 w 2266608"/>
              <a:gd name="connsiteY97" fmla="*/ 1680028 h 1723571"/>
              <a:gd name="connsiteX98" fmla="*/ 771637 w 2266608"/>
              <a:gd name="connsiteY98" fmla="*/ 1723571 h 1723571"/>
              <a:gd name="connsiteX99" fmla="*/ 746237 w 2266608"/>
              <a:gd name="connsiteY99" fmla="*/ 1698171 h 1723571"/>
              <a:gd name="connsiteX100" fmla="*/ 655522 w 2266608"/>
              <a:gd name="connsiteY100" fmla="*/ 1719942 h 1723571"/>
              <a:gd name="connsiteX101" fmla="*/ 582951 w 2266608"/>
              <a:gd name="connsiteY101" fmla="*/ 1680028 h 1723571"/>
              <a:gd name="connsiteX102" fmla="*/ 582951 w 2266608"/>
              <a:gd name="connsiteY102" fmla="*/ 1632857 h 1723571"/>
              <a:gd name="connsiteX103" fmla="*/ 626494 w 2266608"/>
              <a:gd name="connsiteY103" fmla="*/ 1589314 h 1723571"/>
              <a:gd name="connsiteX104" fmla="*/ 630122 w 2266608"/>
              <a:gd name="connsiteY104" fmla="*/ 1498600 h 1723571"/>
              <a:gd name="connsiteX105" fmla="*/ 608351 w 2266608"/>
              <a:gd name="connsiteY105" fmla="*/ 1480457 h 1723571"/>
              <a:gd name="connsiteX106" fmla="*/ 514008 w 2266608"/>
              <a:gd name="connsiteY106" fmla="*/ 1440542 h 1723571"/>
              <a:gd name="connsiteX107" fmla="*/ 426922 w 2266608"/>
              <a:gd name="connsiteY107" fmla="*/ 1284514 h 1723571"/>
              <a:gd name="connsiteX108" fmla="*/ 423294 w 2266608"/>
              <a:gd name="connsiteY108" fmla="*/ 1277257 h 1723571"/>
              <a:gd name="connsiteX109" fmla="*/ 347094 w 2266608"/>
              <a:gd name="connsiteY109" fmla="*/ 1349828 h 1723571"/>
              <a:gd name="connsiteX110" fmla="*/ 289037 w 2266608"/>
              <a:gd name="connsiteY110" fmla="*/ 1302657 h 1723571"/>
              <a:gd name="connsiteX111" fmla="*/ 256379 w 2266608"/>
              <a:gd name="connsiteY111" fmla="*/ 1324428 h 1723571"/>
              <a:gd name="connsiteX112" fmla="*/ 187437 w 2266608"/>
              <a:gd name="connsiteY112" fmla="*/ 1320800 h 1723571"/>
              <a:gd name="connsiteX113" fmla="*/ 103979 w 2266608"/>
              <a:gd name="connsiteY113" fmla="*/ 1244600 h 1723571"/>
              <a:gd name="connsiteX0" fmla="*/ 103979 w 2266608"/>
              <a:gd name="connsiteY0" fmla="*/ 1244600 h 1723571"/>
              <a:gd name="connsiteX1" fmla="*/ 129379 w 2266608"/>
              <a:gd name="connsiteY1" fmla="*/ 1059542 h 1723571"/>
              <a:gd name="connsiteX2" fmla="*/ 100351 w 2266608"/>
              <a:gd name="connsiteY2" fmla="*/ 1030514 h 1723571"/>
              <a:gd name="connsiteX3" fmla="*/ 96722 w 2266608"/>
              <a:gd name="connsiteY3" fmla="*/ 979714 h 1723571"/>
              <a:gd name="connsiteX4" fmla="*/ 40508 w 2266608"/>
              <a:gd name="connsiteY4" fmla="*/ 872642 h 1723571"/>
              <a:gd name="connsiteX5" fmla="*/ 0 w 2266608"/>
              <a:gd name="connsiteY5" fmla="*/ 842423 h 1723571"/>
              <a:gd name="connsiteX6" fmla="*/ 35037 w 2266608"/>
              <a:gd name="connsiteY6" fmla="*/ 765628 h 1723571"/>
              <a:gd name="connsiteX7" fmla="*/ 16894 w 2266608"/>
              <a:gd name="connsiteY7" fmla="*/ 700314 h 1723571"/>
              <a:gd name="connsiteX8" fmla="*/ 20522 w 2266608"/>
              <a:gd name="connsiteY8" fmla="*/ 656771 h 1723571"/>
              <a:gd name="connsiteX9" fmla="*/ 64065 w 2266608"/>
              <a:gd name="connsiteY9" fmla="*/ 638628 h 1723571"/>
              <a:gd name="connsiteX10" fmla="*/ 38665 w 2266608"/>
              <a:gd name="connsiteY10" fmla="*/ 566057 h 1723571"/>
              <a:gd name="connsiteX11" fmla="*/ 2379 w 2266608"/>
              <a:gd name="connsiteY11" fmla="*/ 526142 h 1723571"/>
              <a:gd name="connsiteX12" fmla="*/ 85837 w 2266608"/>
              <a:gd name="connsiteY12" fmla="*/ 460828 h 1723571"/>
              <a:gd name="connsiteX13" fmla="*/ 85837 w 2266608"/>
              <a:gd name="connsiteY13" fmla="*/ 449942 h 1723571"/>
              <a:gd name="connsiteX14" fmla="*/ 71322 w 2266608"/>
              <a:gd name="connsiteY14" fmla="*/ 420914 h 1723571"/>
              <a:gd name="connsiteX15" fmla="*/ 136637 w 2266608"/>
              <a:gd name="connsiteY15" fmla="*/ 344714 h 1723571"/>
              <a:gd name="connsiteX16" fmla="*/ 136637 w 2266608"/>
              <a:gd name="connsiteY16" fmla="*/ 290285 h 1723571"/>
              <a:gd name="connsiteX17" fmla="*/ 45922 w 2266608"/>
              <a:gd name="connsiteY17" fmla="*/ 185057 h 1723571"/>
              <a:gd name="connsiteX18" fmla="*/ 93094 w 2266608"/>
              <a:gd name="connsiteY18" fmla="*/ 116114 h 1723571"/>
              <a:gd name="connsiteX19" fmla="*/ 89465 w 2266608"/>
              <a:gd name="connsiteY19" fmla="*/ 43542 h 1723571"/>
              <a:gd name="connsiteX20" fmla="*/ 278151 w 2266608"/>
              <a:gd name="connsiteY20" fmla="*/ 0 h 1723571"/>
              <a:gd name="connsiteX21" fmla="*/ 343465 w 2266608"/>
              <a:gd name="connsiteY21" fmla="*/ 29028 h 1723571"/>
              <a:gd name="connsiteX22" fmla="*/ 397894 w 2266608"/>
              <a:gd name="connsiteY22" fmla="*/ 97971 h 1723571"/>
              <a:gd name="connsiteX23" fmla="*/ 426922 w 2266608"/>
              <a:gd name="connsiteY23" fmla="*/ 195942 h 1723571"/>
              <a:gd name="connsiteX24" fmla="*/ 455951 w 2266608"/>
              <a:gd name="connsiteY24" fmla="*/ 181428 h 1723571"/>
              <a:gd name="connsiteX25" fmla="*/ 492237 w 2266608"/>
              <a:gd name="connsiteY25" fmla="*/ 199571 h 1723571"/>
              <a:gd name="connsiteX26" fmla="*/ 561824 w 2266608"/>
              <a:gd name="connsiteY26" fmla="*/ 353493 h 1723571"/>
              <a:gd name="connsiteX27" fmla="*/ 704186 w 2266608"/>
              <a:gd name="connsiteY27" fmla="*/ 337068 h 1723571"/>
              <a:gd name="connsiteX28" fmla="*/ 757122 w 2266608"/>
              <a:gd name="connsiteY28" fmla="*/ 359228 h 1723571"/>
              <a:gd name="connsiteX29" fmla="*/ 784229 w 2266608"/>
              <a:gd name="connsiteY29" fmla="*/ 324269 h 1723571"/>
              <a:gd name="connsiteX30" fmla="*/ 855094 w 2266608"/>
              <a:gd name="connsiteY30" fmla="*/ 315685 h 1723571"/>
              <a:gd name="connsiteX31" fmla="*/ 908449 w 2266608"/>
              <a:gd name="connsiteY31" fmla="*/ 264496 h 1723571"/>
              <a:gd name="connsiteX32" fmla="*/ 1003865 w 2266608"/>
              <a:gd name="connsiteY32" fmla="*/ 297542 h 1723571"/>
              <a:gd name="connsiteX33" fmla="*/ 1025637 w 2266608"/>
              <a:gd name="connsiteY33" fmla="*/ 319314 h 1723571"/>
              <a:gd name="connsiteX34" fmla="*/ 1058294 w 2266608"/>
              <a:gd name="connsiteY34" fmla="*/ 337457 h 1723571"/>
              <a:gd name="connsiteX35" fmla="*/ 1051037 w 2266608"/>
              <a:gd name="connsiteY35" fmla="*/ 373742 h 1723571"/>
              <a:gd name="connsiteX36" fmla="*/ 1101837 w 2266608"/>
              <a:gd name="connsiteY36" fmla="*/ 377371 h 1723571"/>
              <a:gd name="connsiteX37" fmla="*/ 1119979 w 2266608"/>
              <a:gd name="connsiteY37" fmla="*/ 424542 h 1723571"/>
              <a:gd name="connsiteX38" fmla="*/ 1119979 w 2266608"/>
              <a:gd name="connsiteY38" fmla="*/ 431800 h 1723571"/>
              <a:gd name="connsiteX39" fmla="*/ 1098208 w 2266608"/>
              <a:gd name="connsiteY39" fmla="*/ 468085 h 1723571"/>
              <a:gd name="connsiteX40" fmla="*/ 1112722 w 2266608"/>
              <a:gd name="connsiteY40" fmla="*/ 518885 h 1723571"/>
              <a:gd name="connsiteX41" fmla="*/ 1163522 w 2266608"/>
              <a:gd name="connsiteY41" fmla="*/ 540657 h 1723571"/>
              <a:gd name="connsiteX42" fmla="*/ 1250608 w 2266608"/>
              <a:gd name="connsiteY42" fmla="*/ 562428 h 1723571"/>
              <a:gd name="connsiteX43" fmla="*/ 1265122 w 2266608"/>
              <a:gd name="connsiteY43" fmla="*/ 566057 h 1723571"/>
              <a:gd name="connsiteX44" fmla="*/ 1272379 w 2266608"/>
              <a:gd name="connsiteY44" fmla="*/ 605971 h 1723571"/>
              <a:gd name="connsiteX45" fmla="*/ 1330008 w 2266608"/>
              <a:gd name="connsiteY45" fmla="*/ 578660 h 1723571"/>
              <a:gd name="connsiteX46" fmla="*/ 1342244 w 2266608"/>
              <a:gd name="connsiteY46" fmla="*/ 539147 h 1723571"/>
              <a:gd name="connsiteX47" fmla="*/ 1419438 w 2266608"/>
              <a:gd name="connsiteY47" fmla="*/ 511628 h 1723571"/>
              <a:gd name="connsiteX48" fmla="*/ 1464479 w 2266608"/>
              <a:gd name="connsiteY48" fmla="*/ 524037 h 1723571"/>
              <a:gd name="connsiteX49" fmla="*/ 1487744 w 2266608"/>
              <a:gd name="connsiteY49" fmla="*/ 500354 h 1723571"/>
              <a:gd name="connsiteX50" fmla="*/ 1484156 w 2266608"/>
              <a:gd name="connsiteY50" fmla="*/ 440654 h 1723571"/>
              <a:gd name="connsiteX51" fmla="*/ 1518915 w 2266608"/>
              <a:gd name="connsiteY51" fmla="*/ 371903 h 1723571"/>
              <a:gd name="connsiteX52" fmla="*/ 1549429 w 2266608"/>
              <a:gd name="connsiteY52" fmla="*/ 380416 h 1723571"/>
              <a:gd name="connsiteX53" fmla="*/ 1586286 w 2266608"/>
              <a:gd name="connsiteY53" fmla="*/ 312464 h 1723571"/>
              <a:gd name="connsiteX54" fmla="*/ 1692435 w 2266608"/>
              <a:gd name="connsiteY54" fmla="*/ 250177 h 1723571"/>
              <a:gd name="connsiteX55" fmla="*/ 1774401 w 2266608"/>
              <a:gd name="connsiteY55" fmla="*/ 302304 h 1723571"/>
              <a:gd name="connsiteX56" fmla="*/ 1833886 w 2266608"/>
              <a:gd name="connsiteY56" fmla="*/ 291547 h 1723571"/>
              <a:gd name="connsiteX57" fmla="*/ 1852951 w 2266608"/>
              <a:gd name="connsiteY57" fmla="*/ 293914 h 1723571"/>
              <a:gd name="connsiteX58" fmla="*/ 1921250 w 2266608"/>
              <a:gd name="connsiteY58" fmla="*/ 333633 h 1723571"/>
              <a:gd name="connsiteX59" fmla="*/ 1968851 w 2266608"/>
              <a:gd name="connsiteY59" fmla="*/ 308038 h 1723571"/>
              <a:gd name="connsiteX60" fmla="*/ 2057634 w 2266608"/>
              <a:gd name="connsiteY60" fmla="*/ 381744 h 1723571"/>
              <a:gd name="connsiteX61" fmla="*/ 2098835 w 2266608"/>
              <a:gd name="connsiteY61" fmla="*/ 380415 h 1723571"/>
              <a:gd name="connsiteX62" fmla="*/ 2190408 w 2266608"/>
              <a:gd name="connsiteY62" fmla="*/ 446314 h 1723571"/>
              <a:gd name="connsiteX63" fmla="*/ 2201294 w 2266608"/>
              <a:gd name="connsiteY63" fmla="*/ 558800 h 1723571"/>
              <a:gd name="connsiteX64" fmla="*/ 2237579 w 2266608"/>
              <a:gd name="connsiteY64" fmla="*/ 558800 h 1723571"/>
              <a:gd name="connsiteX65" fmla="*/ 2266608 w 2266608"/>
              <a:gd name="connsiteY65" fmla="*/ 613228 h 1723571"/>
              <a:gd name="connsiteX66" fmla="*/ 2208551 w 2266608"/>
              <a:gd name="connsiteY66" fmla="*/ 620485 h 1723571"/>
              <a:gd name="connsiteX67" fmla="*/ 2154122 w 2266608"/>
              <a:gd name="connsiteY67" fmla="*/ 678542 h 1723571"/>
              <a:gd name="connsiteX68" fmla="*/ 2143237 w 2266608"/>
              <a:gd name="connsiteY68" fmla="*/ 725714 h 1723571"/>
              <a:gd name="connsiteX69" fmla="*/ 2201294 w 2266608"/>
              <a:gd name="connsiteY69" fmla="*/ 751114 h 1723571"/>
              <a:gd name="connsiteX70" fmla="*/ 2165008 w 2266608"/>
              <a:gd name="connsiteY70" fmla="*/ 783771 h 1723571"/>
              <a:gd name="connsiteX71" fmla="*/ 2168637 w 2266608"/>
              <a:gd name="connsiteY71" fmla="*/ 823685 h 1723571"/>
              <a:gd name="connsiteX72" fmla="*/ 2016237 w 2266608"/>
              <a:gd name="connsiteY72" fmla="*/ 1019628 h 1723571"/>
              <a:gd name="connsiteX73" fmla="*/ 1914637 w 2266608"/>
              <a:gd name="connsiteY73" fmla="*/ 1081314 h 1723571"/>
              <a:gd name="connsiteX74" fmla="*/ 1925522 w 2266608"/>
              <a:gd name="connsiteY74" fmla="*/ 1197428 h 1723571"/>
              <a:gd name="connsiteX75" fmla="*/ 1780379 w 2266608"/>
              <a:gd name="connsiteY75" fmla="*/ 1338942 h 1723571"/>
              <a:gd name="connsiteX76" fmla="*/ 1733208 w 2266608"/>
              <a:gd name="connsiteY76" fmla="*/ 1491342 h 1723571"/>
              <a:gd name="connsiteX77" fmla="*/ 1682408 w 2266608"/>
              <a:gd name="connsiteY77" fmla="*/ 1571171 h 1723571"/>
              <a:gd name="connsiteX78" fmla="*/ 1598951 w 2266608"/>
              <a:gd name="connsiteY78" fmla="*/ 1618342 h 1723571"/>
              <a:gd name="connsiteX79" fmla="*/ 1566294 w 2266608"/>
              <a:gd name="connsiteY79" fmla="*/ 1618342 h 1723571"/>
              <a:gd name="connsiteX80" fmla="*/ 1559037 w 2266608"/>
              <a:gd name="connsiteY80" fmla="*/ 1578428 h 1723571"/>
              <a:gd name="connsiteX81" fmla="*/ 1519122 w 2266608"/>
              <a:gd name="connsiteY81" fmla="*/ 1563914 h 1723571"/>
              <a:gd name="connsiteX82" fmla="*/ 1457437 w 2266608"/>
              <a:gd name="connsiteY82" fmla="*/ 1618342 h 1723571"/>
              <a:gd name="connsiteX83" fmla="*/ 1424779 w 2266608"/>
              <a:gd name="connsiteY83" fmla="*/ 1618342 h 1723571"/>
              <a:gd name="connsiteX84" fmla="*/ 1428408 w 2266608"/>
              <a:gd name="connsiteY84" fmla="*/ 1582057 h 1723571"/>
              <a:gd name="connsiteX85" fmla="*/ 1388494 w 2266608"/>
              <a:gd name="connsiteY85" fmla="*/ 1582057 h 1723571"/>
              <a:gd name="connsiteX86" fmla="*/ 1334065 w 2266608"/>
              <a:gd name="connsiteY86" fmla="*/ 1480457 h 1723571"/>
              <a:gd name="connsiteX87" fmla="*/ 1268751 w 2266608"/>
              <a:gd name="connsiteY87" fmla="*/ 1444171 h 1723571"/>
              <a:gd name="connsiteX88" fmla="*/ 1203437 w 2266608"/>
              <a:gd name="connsiteY88" fmla="*/ 1455057 h 1723571"/>
              <a:gd name="connsiteX89" fmla="*/ 1134494 w 2266608"/>
              <a:gd name="connsiteY89" fmla="*/ 1440542 h 1723571"/>
              <a:gd name="connsiteX90" fmla="*/ 1054665 w 2266608"/>
              <a:gd name="connsiteY90" fmla="*/ 1701800 h 1723571"/>
              <a:gd name="connsiteX91" fmla="*/ 989351 w 2266608"/>
              <a:gd name="connsiteY91" fmla="*/ 1607457 h 1723571"/>
              <a:gd name="connsiteX92" fmla="*/ 963951 w 2266608"/>
              <a:gd name="connsiteY92" fmla="*/ 1629228 h 1723571"/>
              <a:gd name="connsiteX93" fmla="*/ 938551 w 2266608"/>
              <a:gd name="connsiteY93" fmla="*/ 1618342 h 1723571"/>
              <a:gd name="connsiteX94" fmla="*/ 905894 w 2266608"/>
              <a:gd name="connsiteY94" fmla="*/ 1636485 h 1723571"/>
              <a:gd name="connsiteX95" fmla="*/ 884122 w 2266608"/>
              <a:gd name="connsiteY95" fmla="*/ 1614714 h 1723571"/>
              <a:gd name="connsiteX96" fmla="*/ 847837 w 2266608"/>
              <a:gd name="connsiteY96" fmla="*/ 1640114 h 1723571"/>
              <a:gd name="connsiteX97" fmla="*/ 844208 w 2266608"/>
              <a:gd name="connsiteY97" fmla="*/ 1680028 h 1723571"/>
              <a:gd name="connsiteX98" fmla="*/ 771637 w 2266608"/>
              <a:gd name="connsiteY98" fmla="*/ 1723571 h 1723571"/>
              <a:gd name="connsiteX99" fmla="*/ 746237 w 2266608"/>
              <a:gd name="connsiteY99" fmla="*/ 1698171 h 1723571"/>
              <a:gd name="connsiteX100" fmla="*/ 655522 w 2266608"/>
              <a:gd name="connsiteY100" fmla="*/ 1719942 h 1723571"/>
              <a:gd name="connsiteX101" fmla="*/ 582951 w 2266608"/>
              <a:gd name="connsiteY101" fmla="*/ 1680028 h 1723571"/>
              <a:gd name="connsiteX102" fmla="*/ 582951 w 2266608"/>
              <a:gd name="connsiteY102" fmla="*/ 1632857 h 1723571"/>
              <a:gd name="connsiteX103" fmla="*/ 626494 w 2266608"/>
              <a:gd name="connsiteY103" fmla="*/ 1589314 h 1723571"/>
              <a:gd name="connsiteX104" fmla="*/ 630122 w 2266608"/>
              <a:gd name="connsiteY104" fmla="*/ 1498600 h 1723571"/>
              <a:gd name="connsiteX105" fmla="*/ 608351 w 2266608"/>
              <a:gd name="connsiteY105" fmla="*/ 1480457 h 1723571"/>
              <a:gd name="connsiteX106" fmla="*/ 514008 w 2266608"/>
              <a:gd name="connsiteY106" fmla="*/ 1440542 h 1723571"/>
              <a:gd name="connsiteX107" fmla="*/ 426922 w 2266608"/>
              <a:gd name="connsiteY107" fmla="*/ 1284514 h 1723571"/>
              <a:gd name="connsiteX108" fmla="*/ 423294 w 2266608"/>
              <a:gd name="connsiteY108" fmla="*/ 1277257 h 1723571"/>
              <a:gd name="connsiteX109" fmla="*/ 347094 w 2266608"/>
              <a:gd name="connsiteY109" fmla="*/ 1349828 h 1723571"/>
              <a:gd name="connsiteX110" fmla="*/ 289037 w 2266608"/>
              <a:gd name="connsiteY110" fmla="*/ 1302657 h 1723571"/>
              <a:gd name="connsiteX111" fmla="*/ 256379 w 2266608"/>
              <a:gd name="connsiteY111" fmla="*/ 1324428 h 1723571"/>
              <a:gd name="connsiteX112" fmla="*/ 187437 w 2266608"/>
              <a:gd name="connsiteY112" fmla="*/ 1320800 h 1723571"/>
              <a:gd name="connsiteX113" fmla="*/ 103979 w 2266608"/>
              <a:gd name="connsiteY113" fmla="*/ 1244600 h 1723571"/>
              <a:gd name="connsiteX0" fmla="*/ 103979 w 2266608"/>
              <a:gd name="connsiteY0" fmla="*/ 1244600 h 1723571"/>
              <a:gd name="connsiteX1" fmla="*/ 129379 w 2266608"/>
              <a:gd name="connsiteY1" fmla="*/ 1059542 h 1723571"/>
              <a:gd name="connsiteX2" fmla="*/ 100351 w 2266608"/>
              <a:gd name="connsiteY2" fmla="*/ 1030514 h 1723571"/>
              <a:gd name="connsiteX3" fmla="*/ 84051 w 2266608"/>
              <a:gd name="connsiteY3" fmla="*/ 979714 h 1723571"/>
              <a:gd name="connsiteX4" fmla="*/ 40508 w 2266608"/>
              <a:gd name="connsiteY4" fmla="*/ 872642 h 1723571"/>
              <a:gd name="connsiteX5" fmla="*/ 0 w 2266608"/>
              <a:gd name="connsiteY5" fmla="*/ 842423 h 1723571"/>
              <a:gd name="connsiteX6" fmla="*/ 35037 w 2266608"/>
              <a:gd name="connsiteY6" fmla="*/ 765628 h 1723571"/>
              <a:gd name="connsiteX7" fmla="*/ 16894 w 2266608"/>
              <a:gd name="connsiteY7" fmla="*/ 700314 h 1723571"/>
              <a:gd name="connsiteX8" fmla="*/ 20522 w 2266608"/>
              <a:gd name="connsiteY8" fmla="*/ 656771 h 1723571"/>
              <a:gd name="connsiteX9" fmla="*/ 64065 w 2266608"/>
              <a:gd name="connsiteY9" fmla="*/ 638628 h 1723571"/>
              <a:gd name="connsiteX10" fmla="*/ 38665 w 2266608"/>
              <a:gd name="connsiteY10" fmla="*/ 566057 h 1723571"/>
              <a:gd name="connsiteX11" fmla="*/ 2379 w 2266608"/>
              <a:gd name="connsiteY11" fmla="*/ 526142 h 1723571"/>
              <a:gd name="connsiteX12" fmla="*/ 85837 w 2266608"/>
              <a:gd name="connsiteY12" fmla="*/ 460828 h 1723571"/>
              <a:gd name="connsiteX13" fmla="*/ 85837 w 2266608"/>
              <a:gd name="connsiteY13" fmla="*/ 449942 h 1723571"/>
              <a:gd name="connsiteX14" fmla="*/ 71322 w 2266608"/>
              <a:gd name="connsiteY14" fmla="*/ 420914 h 1723571"/>
              <a:gd name="connsiteX15" fmla="*/ 136637 w 2266608"/>
              <a:gd name="connsiteY15" fmla="*/ 344714 h 1723571"/>
              <a:gd name="connsiteX16" fmla="*/ 136637 w 2266608"/>
              <a:gd name="connsiteY16" fmla="*/ 290285 h 1723571"/>
              <a:gd name="connsiteX17" fmla="*/ 45922 w 2266608"/>
              <a:gd name="connsiteY17" fmla="*/ 185057 h 1723571"/>
              <a:gd name="connsiteX18" fmla="*/ 93094 w 2266608"/>
              <a:gd name="connsiteY18" fmla="*/ 116114 h 1723571"/>
              <a:gd name="connsiteX19" fmla="*/ 89465 w 2266608"/>
              <a:gd name="connsiteY19" fmla="*/ 43542 h 1723571"/>
              <a:gd name="connsiteX20" fmla="*/ 278151 w 2266608"/>
              <a:gd name="connsiteY20" fmla="*/ 0 h 1723571"/>
              <a:gd name="connsiteX21" fmla="*/ 343465 w 2266608"/>
              <a:gd name="connsiteY21" fmla="*/ 29028 h 1723571"/>
              <a:gd name="connsiteX22" fmla="*/ 397894 w 2266608"/>
              <a:gd name="connsiteY22" fmla="*/ 97971 h 1723571"/>
              <a:gd name="connsiteX23" fmla="*/ 426922 w 2266608"/>
              <a:gd name="connsiteY23" fmla="*/ 195942 h 1723571"/>
              <a:gd name="connsiteX24" fmla="*/ 455951 w 2266608"/>
              <a:gd name="connsiteY24" fmla="*/ 181428 h 1723571"/>
              <a:gd name="connsiteX25" fmla="*/ 492237 w 2266608"/>
              <a:gd name="connsiteY25" fmla="*/ 199571 h 1723571"/>
              <a:gd name="connsiteX26" fmla="*/ 561824 w 2266608"/>
              <a:gd name="connsiteY26" fmla="*/ 353493 h 1723571"/>
              <a:gd name="connsiteX27" fmla="*/ 704186 w 2266608"/>
              <a:gd name="connsiteY27" fmla="*/ 337068 h 1723571"/>
              <a:gd name="connsiteX28" fmla="*/ 757122 w 2266608"/>
              <a:gd name="connsiteY28" fmla="*/ 359228 h 1723571"/>
              <a:gd name="connsiteX29" fmla="*/ 784229 w 2266608"/>
              <a:gd name="connsiteY29" fmla="*/ 324269 h 1723571"/>
              <a:gd name="connsiteX30" fmla="*/ 855094 w 2266608"/>
              <a:gd name="connsiteY30" fmla="*/ 315685 h 1723571"/>
              <a:gd name="connsiteX31" fmla="*/ 908449 w 2266608"/>
              <a:gd name="connsiteY31" fmla="*/ 264496 h 1723571"/>
              <a:gd name="connsiteX32" fmla="*/ 1003865 w 2266608"/>
              <a:gd name="connsiteY32" fmla="*/ 297542 h 1723571"/>
              <a:gd name="connsiteX33" fmla="*/ 1025637 w 2266608"/>
              <a:gd name="connsiteY33" fmla="*/ 319314 h 1723571"/>
              <a:gd name="connsiteX34" fmla="*/ 1058294 w 2266608"/>
              <a:gd name="connsiteY34" fmla="*/ 337457 h 1723571"/>
              <a:gd name="connsiteX35" fmla="*/ 1051037 w 2266608"/>
              <a:gd name="connsiteY35" fmla="*/ 373742 h 1723571"/>
              <a:gd name="connsiteX36" fmla="*/ 1101837 w 2266608"/>
              <a:gd name="connsiteY36" fmla="*/ 377371 h 1723571"/>
              <a:gd name="connsiteX37" fmla="*/ 1119979 w 2266608"/>
              <a:gd name="connsiteY37" fmla="*/ 424542 h 1723571"/>
              <a:gd name="connsiteX38" fmla="*/ 1119979 w 2266608"/>
              <a:gd name="connsiteY38" fmla="*/ 431800 h 1723571"/>
              <a:gd name="connsiteX39" fmla="*/ 1098208 w 2266608"/>
              <a:gd name="connsiteY39" fmla="*/ 468085 h 1723571"/>
              <a:gd name="connsiteX40" fmla="*/ 1112722 w 2266608"/>
              <a:gd name="connsiteY40" fmla="*/ 518885 h 1723571"/>
              <a:gd name="connsiteX41" fmla="*/ 1163522 w 2266608"/>
              <a:gd name="connsiteY41" fmla="*/ 540657 h 1723571"/>
              <a:gd name="connsiteX42" fmla="*/ 1250608 w 2266608"/>
              <a:gd name="connsiteY42" fmla="*/ 562428 h 1723571"/>
              <a:gd name="connsiteX43" fmla="*/ 1265122 w 2266608"/>
              <a:gd name="connsiteY43" fmla="*/ 566057 h 1723571"/>
              <a:gd name="connsiteX44" fmla="*/ 1272379 w 2266608"/>
              <a:gd name="connsiteY44" fmla="*/ 605971 h 1723571"/>
              <a:gd name="connsiteX45" fmla="*/ 1330008 w 2266608"/>
              <a:gd name="connsiteY45" fmla="*/ 578660 h 1723571"/>
              <a:gd name="connsiteX46" fmla="*/ 1342244 w 2266608"/>
              <a:gd name="connsiteY46" fmla="*/ 539147 h 1723571"/>
              <a:gd name="connsiteX47" fmla="*/ 1419438 w 2266608"/>
              <a:gd name="connsiteY47" fmla="*/ 511628 h 1723571"/>
              <a:gd name="connsiteX48" fmla="*/ 1464479 w 2266608"/>
              <a:gd name="connsiteY48" fmla="*/ 524037 h 1723571"/>
              <a:gd name="connsiteX49" fmla="*/ 1487744 w 2266608"/>
              <a:gd name="connsiteY49" fmla="*/ 500354 h 1723571"/>
              <a:gd name="connsiteX50" fmla="*/ 1484156 w 2266608"/>
              <a:gd name="connsiteY50" fmla="*/ 440654 h 1723571"/>
              <a:gd name="connsiteX51" fmla="*/ 1518915 w 2266608"/>
              <a:gd name="connsiteY51" fmla="*/ 371903 h 1723571"/>
              <a:gd name="connsiteX52" fmla="*/ 1549429 w 2266608"/>
              <a:gd name="connsiteY52" fmla="*/ 380416 h 1723571"/>
              <a:gd name="connsiteX53" fmla="*/ 1586286 w 2266608"/>
              <a:gd name="connsiteY53" fmla="*/ 312464 h 1723571"/>
              <a:gd name="connsiteX54" fmla="*/ 1692435 w 2266608"/>
              <a:gd name="connsiteY54" fmla="*/ 250177 h 1723571"/>
              <a:gd name="connsiteX55" fmla="*/ 1774401 w 2266608"/>
              <a:gd name="connsiteY55" fmla="*/ 302304 h 1723571"/>
              <a:gd name="connsiteX56" fmla="*/ 1833886 w 2266608"/>
              <a:gd name="connsiteY56" fmla="*/ 291547 h 1723571"/>
              <a:gd name="connsiteX57" fmla="*/ 1852951 w 2266608"/>
              <a:gd name="connsiteY57" fmla="*/ 293914 h 1723571"/>
              <a:gd name="connsiteX58" fmla="*/ 1921250 w 2266608"/>
              <a:gd name="connsiteY58" fmla="*/ 333633 h 1723571"/>
              <a:gd name="connsiteX59" fmla="*/ 1968851 w 2266608"/>
              <a:gd name="connsiteY59" fmla="*/ 308038 h 1723571"/>
              <a:gd name="connsiteX60" fmla="*/ 2057634 w 2266608"/>
              <a:gd name="connsiteY60" fmla="*/ 381744 h 1723571"/>
              <a:gd name="connsiteX61" fmla="*/ 2098835 w 2266608"/>
              <a:gd name="connsiteY61" fmla="*/ 380415 h 1723571"/>
              <a:gd name="connsiteX62" fmla="*/ 2190408 w 2266608"/>
              <a:gd name="connsiteY62" fmla="*/ 446314 h 1723571"/>
              <a:gd name="connsiteX63" fmla="*/ 2201294 w 2266608"/>
              <a:gd name="connsiteY63" fmla="*/ 558800 h 1723571"/>
              <a:gd name="connsiteX64" fmla="*/ 2237579 w 2266608"/>
              <a:gd name="connsiteY64" fmla="*/ 558800 h 1723571"/>
              <a:gd name="connsiteX65" fmla="*/ 2266608 w 2266608"/>
              <a:gd name="connsiteY65" fmla="*/ 613228 h 1723571"/>
              <a:gd name="connsiteX66" fmla="*/ 2208551 w 2266608"/>
              <a:gd name="connsiteY66" fmla="*/ 620485 h 1723571"/>
              <a:gd name="connsiteX67" fmla="*/ 2154122 w 2266608"/>
              <a:gd name="connsiteY67" fmla="*/ 678542 h 1723571"/>
              <a:gd name="connsiteX68" fmla="*/ 2143237 w 2266608"/>
              <a:gd name="connsiteY68" fmla="*/ 725714 h 1723571"/>
              <a:gd name="connsiteX69" fmla="*/ 2201294 w 2266608"/>
              <a:gd name="connsiteY69" fmla="*/ 751114 h 1723571"/>
              <a:gd name="connsiteX70" fmla="*/ 2165008 w 2266608"/>
              <a:gd name="connsiteY70" fmla="*/ 783771 h 1723571"/>
              <a:gd name="connsiteX71" fmla="*/ 2168637 w 2266608"/>
              <a:gd name="connsiteY71" fmla="*/ 823685 h 1723571"/>
              <a:gd name="connsiteX72" fmla="*/ 2016237 w 2266608"/>
              <a:gd name="connsiteY72" fmla="*/ 1019628 h 1723571"/>
              <a:gd name="connsiteX73" fmla="*/ 1914637 w 2266608"/>
              <a:gd name="connsiteY73" fmla="*/ 1081314 h 1723571"/>
              <a:gd name="connsiteX74" fmla="*/ 1925522 w 2266608"/>
              <a:gd name="connsiteY74" fmla="*/ 1197428 h 1723571"/>
              <a:gd name="connsiteX75" fmla="*/ 1780379 w 2266608"/>
              <a:gd name="connsiteY75" fmla="*/ 1338942 h 1723571"/>
              <a:gd name="connsiteX76" fmla="*/ 1733208 w 2266608"/>
              <a:gd name="connsiteY76" fmla="*/ 1491342 h 1723571"/>
              <a:gd name="connsiteX77" fmla="*/ 1682408 w 2266608"/>
              <a:gd name="connsiteY77" fmla="*/ 1571171 h 1723571"/>
              <a:gd name="connsiteX78" fmla="*/ 1598951 w 2266608"/>
              <a:gd name="connsiteY78" fmla="*/ 1618342 h 1723571"/>
              <a:gd name="connsiteX79" fmla="*/ 1566294 w 2266608"/>
              <a:gd name="connsiteY79" fmla="*/ 1618342 h 1723571"/>
              <a:gd name="connsiteX80" fmla="*/ 1559037 w 2266608"/>
              <a:gd name="connsiteY80" fmla="*/ 1578428 h 1723571"/>
              <a:gd name="connsiteX81" fmla="*/ 1519122 w 2266608"/>
              <a:gd name="connsiteY81" fmla="*/ 1563914 h 1723571"/>
              <a:gd name="connsiteX82" fmla="*/ 1457437 w 2266608"/>
              <a:gd name="connsiteY82" fmla="*/ 1618342 h 1723571"/>
              <a:gd name="connsiteX83" fmla="*/ 1424779 w 2266608"/>
              <a:gd name="connsiteY83" fmla="*/ 1618342 h 1723571"/>
              <a:gd name="connsiteX84" fmla="*/ 1428408 w 2266608"/>
              <a:gd name="connsiteY84" fmla="*/ 1582057 h 1723571"/>
              <a:gd name="connsiteX85" fmla="*/ 1388494 w 2266608"/>
              <a:gd name="connsiteY85" fmla="*/ 1582057 h 1723571"/>
              <a:gd name="connsiteX86" fmla="*/ 1334065 w 2266608"/>
              <a:gd name="connsiteY86" fmla="*/ 1480457 h 1723571"/>
              <a:gd name="connsiteX87" fmla="*/ 1268751 w 2266608"/>
              <a:gd name="connsiteY87" fmla="*/ 1444171 h 1723571"/>
              <a:gd name="connsiteX88" fmla="*/ 1203437 w 2266608"/>
              <a:gd name="connsiteY88" fmla="*/ 1455057 h 1723571"/>
              <a:gd name="connsiteX89" fmla="*/ 1134494 w 2266608"/>
              <a:gd name="connsiteY89" fmla="*/ 1440542 h 1723571"/>
              <a:gd name="connsiteX90" fmla="*/ 1054665 w 2266608"/>
              <a:gd name="connsiteY90" fmla="*/ 1701800 h 1723571"/>
              <a:gd name="connsiteX91" fmla="*/ 989351 w 2266608"/>
              <a:gd name="connsiteY91" fmla="*/ 1607457 h 1723571"/>
              <a:gd name="connsiteX92" fmla="*/ 963951 w 2266608"/>
              <a:gd name="connsiteY92" fmla="*/ 1629228 h 1723571"/>
              <a:gd name="connsiteX93" fmla="*/ 938551 w 2266608"/>
              <a:gd name="connsiteY93" fmla="*/ 1618342 h 1723571"/>
              <a:gd name="connsiteX94" fmla="*/ 905894 w 2266608"/>
              <a:gd name="connsiteY94" fmla="*/ 1636485 h 1723571"/>
              <a:gd name="connsiteX95" fmla="*/ 884122 w 2266608"/>
              <a:gd name="connsiteY95" fmla="*/ 1614714 h 1723571"/>
              <a:gd name="connsiteX96" fmla="*/ 847837 w 2266608"/>
              <a:gd name="connsiteY96" fmla="*/ 1640114 h 1723571"/>
              <a:gd name="connsiteX97" fmla="*/ 844208 w 2266608"/>
              <a:gd name="connsiteY97" fmla="*/ 1680028 h 1723571"/>
              <a:gd name="connsiteX98" fmla="*/ 771637 w 2266608"/>
              <a:gd name="connsiteY98" fmla="*/ 1723571 h 1723571"/>
              <a:gd name="connsiteX99" fmla="*/ 746237 w 2266608"/>
              <a:gd name="connsiteY99" fmla="*/ 1698171 h 1723571"/>
              <a:gd name="connsiteX100" fmla="*/ 655522 w 2266608"/>
              <a:gd name="connsiteY100" fmla="*/ 1719942 h 1723571"/>
              <a:gd name="connsiteX101" fmla="*/ 582951 w 2266608"/>
              <a:gd name="connsiteY101" fmla="*/ 1680028 h 1723571"/>
              <a:gd name="connsiteX102" fmla="*/ 582951 w 2266608"/>
              <a:gd name="connsiteY102" fmla="*/ 1632857 h 1723571"/>
              <a:gd name="connsiteX103" fmla="*/ 626494 w 2266608"/>
              <a:gd name="connsiteY103" fmla="*/ 1589314 h 1723571"/>
              <a:gd name="connsiteX104" fmla="*/ 630122 w 2266608"/>
              <a:gd name="connsiteY104" fmla="*/ 1498600 h 1723571"/>
              <a:gd name="connsiteX105" fmla="*/ 608351 w 2266608"/>
              <a:gd name="connsiteY105" fmla="*/ 1480457 h 1723571"/>
              <a:gd name="connsiteX106" fmla="*/ 514008 w 2266608"/>
              <a:gd name="connsiteY106" fmla="*/ 1440542 h 1723571"/>
              <a:gd name="connsiteX107" fmla="*/ 426922 w 2266608"/>
              <a:gd name="connsiteY107" fmla="*/ 1284514 h 1723571"/>
              <a:gd name="connsiteX108" fmla="*/ 423294 w 2266608"/>
              <a:gd name="connsiteY108" fmla="*/ 1277257 h 1723571"/>
              <a:gd name="connsiteX109" fmla="*/ 347094 w 2266608"/>
              <a:gd name="connsiteY109" fmla="*/ 1349828 h 1723571"/>
              <a:gd name="connsiteX110" fmla="*/ 289037 w 2266608"/>
              <a:gd name="connsiteY110" fmla="*/ 1302657 h 1723571"/>
              <a:gd name="connsiteX111" fmla="*/ 256379 w 2266608"/>
              <a:gd name="connsiteY111" fmla="*/ 1324428 h 1723571"/>
              <a:gd name="connsiteX112" fmla="*/ 187437 w 2266608"/>
              <a:gd name="connsiteY112" fmla="*/ 1320800 h 1723571"/>
              <a:gd name="connsiteX113" fmla="*/ 103979 w 2266608"/>
              <a:gd name="connsiteY113" fmla="*/ 1244600 h 1723571"/>
              <a:gd name="connsiteX0" fmla="*/ 103979 w 2266608"/>
              <a:gd name="connsiteY0" fmla="*/ 1244600 h 1723571"/>
              <a:gd name="connsiteX1" fmla="*/ 129379 w 2266608"/>
              <a:gd name="connsiteY1" fmla="*/ 1059542 h 1723571"/>
              <a:gd name="connsiteX2" fmla="*/ 79233 w 2266608"/>
              <a:gd name="connsiteY2" fmla="*/ 1030514 h 1723571"/>
              <a:gd name="connsiteX3" fmla="*/ 84051 w 2266608"/>
              <a:gd name="connsiteY3" fmla="*/ 979714 h 1723571"/>
              <a:gd name="connsiteX4" fmla="*/ 40508 w 2266608"/>
              <a:gd name="connsiteY4" fmla="*/ 872642 h 1723571"/>
              <a:gd name="connsiteX5" fmla="*/ 0 w 2266608"/>
              <a:gd name="connsiteY5" fmla="*/ 842423 h 1723571"/>
              <a:gd name="connsiteX6" fmla="*/ 35037 w 2266608"/>
              <a:gd name="connsiteY6" fmla="*/ 765628 h 1723571"/>
              <a:gd name="connsiteX7" fmla="*/ 16894 w 2266608"/>
              <a:gd name="connsiteY7" fmla="*/ 700314 h 1723571"/>
              <a:gd name="connsiteX8" fmla="*/ 20522 w 2266608"/>
              <a:gd name="connsiteY8" fmla="*/ 656771 h 1723571"/>
              <a:gd name="connsiteX9" fmla="*/ 64065 w 2266608"/>
              <a:gd name="connsiteY9" fmla="*/ 638628 h 1723571"/>
              <a:gd name="connsiteX10" fmla="*/ 38665 w 2266608"/>
              <a:gd name="connsiteY10" fmla="*/ 566057 h 1723571"/>
              <a:gd name="connsiteX11" fmla="*/ 2379 w 2266608"/>
              <a:gd name="connsiteY11" fmla="*/ 526142 h 1723571"/>
              <a:gd name="connsiteX12" fmla="*/ 85837 w 2266608"/>
              <a:gd name="connsiteY12" fmla="*/ 460828 h 1723571"/>
              <a:gd name="connsiteX13" fmla="*/ 85837 w 2266608"/>
              <a:gd name="connsiteY13" fmla="*/ 449942 h 1723571"/>
              <a:gd name="connsiteX14" fmla="*/ 71322 w 2266608"/>
              <a:gd name="connsiteY14" fmla="*/ 420914 h 1723571"/>
              <a:gd name="connsiteX15" fmla="*/ 136637 w 2266608"/>
              <a:gd name="connsiteY15" fmla="*/ 344714 h 1723571"/>
              <a:gd name="connsiteX16" fmla="*/ 136637 w 2266608"/>
              <a:gd name="connsiteY16" fmla="*/ 290285 h 1723571"/>
              <a:gd name="connsiteX17" fmla="*/ 45922 w 2266608"/>
              <a:gd name="connsiteY17" fmla="*/ 185057 h 1723571"/>
              <a:gd name="connsiteX18" fmla="*/ 93094 w 2266608"/>
              <a:gd name="connsiteY18" fmla="*/ 116114 h 1723571"/>
              <a:gd name="connsiteX19" fmla="*/ 89465 w 2266608"/>
              <a:gd name="connsiteY19" fmla="*/ 43542 h 1723571"/>
              <a:gd name="connsiteX20" fmla="*/ 278151 w 2266608"/>
              <a:gd name="connsiteY20" fmla="*/ 0 h 1723571"/>
              <a:gd name="connsiteX21" fmla="*/ 343465 w 2266608"/>
              <a:gd name="connsiteY21" fmla="*/ 29028 h 1723571"/>
              <a:gd name="connsiteX22" fmla="*/ 397894 w 2266608"/>
              <a:gd name="connsiteY22" fmla="*/ 97971 h 1723571"/>
              <a:gd name="connsiteX23" fmla="*/ 426922 w 2266608"/>
              <a:gd name="connsiteY23" fmla="*/ 195942 h 1723571"/>
              <a:gd name="connsiteX24" fmla="*/ 455951 w 2266608"/>
              <a:gd name="connsiteY24" fmla="*/ 181428 h 1723571"/>
              <a:gd name="connsiteX25" fmla="*/ 492237 w 2266608"/>
              <a:gd name="connsiteY25" fmla="*/ 199571 h 1723571"/>
              <a:gd name="connsiteX26" fmla="*/ 561824 w 2266608"/>
              <a:gd name="connsiteY26" fmla="*/ 353493 h 1723571"/>
              <a:gd name="connsiteX27" fmla="*/ 704186 w 2266608"/>
              <a:gd name="connsiteY27" fmla="*/ 337068 h 1723571"/>
              <a:gd name="connsiteX28" fmla="*/ 757122 w 2266608"/>
              <a:gd name="connsiteY28" fmla="*/ 359228 h 1723571"/>
              <a:gd name="connsiteX29" fmla="*/ 784229 w 2266608"/>
              <a:gd name="connsiteY29" fmla="*/ 324269 h 1723571"/>
              <a:gd name="connsiteX30" fmla="*/ 855094 w 2266608"/>
              <a:gd name="connsiteY30" fmla="*/ 315685 h 1723571"/>
              <a:gd name="connsiteX31" fmla="*/ 908449 w 2266608"/>
              <a:gd name="connsiteY31" fmla="*/ 264496 h 1723571"/>
              <a:gd name="connsiteX32" fmla="*/ 1003865 w 2266608"/>
              <a:gd name="connsiteY32" fmla="*/ 297542 h 1723571"/>
              <a:gd name="connsiteX33" fmla="*/ 1025637 w 2266608"/>
              <a:gd name="connsiteY33" fmla="*/ 319314 h 1723571"/>
              <a:gd name="connsiteX34" fmla="*/ 1058294 w 2266608"/>
              <a:gd name="connsiteY34" fmla="*/ 337457 h 1723571"/>
              <a:gd name="connsiteX35" fmla="*/ 1051037 w 2266608"/>
              <a:gd name="connsiteY35" fmla="*/ 373742 h 1723571"/>
              <a:gd name="connsiteX36" fmla="*/ 1101837 w 2266608"/>
              <a:gd name="connsiteY36" fmla="*/ 377371 h 1723571"/>
              <a:gd name="connsiteX37" fmla="*/ 1119979 w 2266608"/>
              <a:gd name="connsiteY37" fmla="*/ 424542 h 1723571"/>
              <a:gd name="connsiteX38" fmla="*/ 1119979 w 2266608"/>
              <a:gd name="connsiteY38" fmla="*/ 431800 h 1723571"/>
              <a:gd name="connsiteX39" fmla="*/ 1098208 w 2266608"/>
              <a:gd name="connsiteY39" fmla="*/ 468085 h 1723571"/>
              <a:gd name="connsiteX40" fmla="*/ 1112722 w 2266608"/>
              <a:gd name="connsiteY40" fmla="*/ 518885 h 1723571"/>
              <a:gd name="connsiteX41" fmla="*/ 1163522 w 2266608"/>
              <a:gd name="connsiteY41" fmla="*/ 540657 h 1723571"/>
              <a:gd name="connsiteX42" fmla="*/ 1250608 w 2266608"/>
              <a:gd name="connsiteY42" fmla="*/ 562428 h 1723571"/>
              <a:gd name="connsiteX43" fmla="*/ 1265122 w 2266608"/>
              <a:gd name="connsiteY43" fmla="*/ 566057 h 1723571"/>
              <a:gd name="connsiteX44" fmla="*/ 1272379 w 2266608"/>
              <a:gd name="connsiteY44" fmla="*/ 605971 h 1723571"/>
              <a:gd name="connsiteX45" fmla="*/ 1330008 w 2266608"/>
              <a:gd name="connsiteY45" fmla="*/ 578660 h 1723571"/>
              <a:gd name="connsiteX46" fmla="*/ 1342244 w 2266608"/>
              <a:gd name="connsiteY46" fmla="*/ 539147 h 1723571"/>
              <a:gd name="connsiteX47" fmla="*/ 1419438 w 2266608"/>
              <a:gd name="connsiteY47" fmla="*/ 511628 h 1723571"/>
              <a:gd name="connsiteX48" fmla="*/ 1464479 w 2266608"/>
              <a:gd name="connsiteY48" fmla="*/ 524037 h 1723571"/>
              <a:gd name="connsiteX49" fmla="*/ 1487744 w 2266608"/>
              <a:gd name="connsiteY49" fmla="*/ 500354 h 1723571"/>
              <a:gd name="connsiteX50" fmla="*/ 1484156 w 2266608"/>
              <a:gd name="connsiteY50" fmla="*/ 440654 h 1723571"/>
              <a:gd name="connsiteX51" fmla="*/ 1518915 w 2266608"/>
              <a:gd name="connsiteY51" fmla="*/ 371903 h 1723571"/>
              <a:gd name="connsiteX52" fmla="*/ 1549429 w 2266608"/>
              <a:gd name="connsiteY52" fmla="*/ 380416 h 1723571"/>
              <a:gd name="connsiteX53" fmla="*/ 1586286 w 2266608"/>
              <a:gd name="connsiteY53" fmla="*/ 312464 h 1723571"/>
              <a:gd name="connsiteX54" fmla="*/ 1692435 w 2266608"/>
              <a:gd name="connsiteY54" fmla="*/ 250177 h 1723571"/>
              <a:gd name="connsiteX55" fmla="*/ 1774401 w 2266608"/>
              <a:gd name="connsiteY55" fmla="*/ 302304 h 1723571"/>
              <a:gd name="connsiteX56" fmla="*/ 1833886 w 2266608"/>
              <a:gd name="connsiteY56" fmla="*/ 291547 h 1723571"/>
              <a:gd name="connsiteX57" fmla="*/ 1852951 w 2266608"/>
              <a:gd name="connsiteY57" fmla="*/ 293914 h 1723571"/>
              <a:gd name="connsiteX58" fmla="*/ 1921250 w 2266608"/>
              <a:gd name="connsiteY58" fmla="*/ 333633 h 1723571"/>
              <a:gd name="connsiteX59" fmla="*/ 1968851 w 2266608"/>
              <a:gd name="connsiteY59" fmla="*/ 308038 h 1723571"/>
              <a:gd name="connsiteX60" fmla="*/ 2057634 w 2266608"/>
              <a:gd name="connsiteY60" fmla="*/ 381744 h 1723571"/>
              <a:gd name="connsiteX61" fmla="*/ 2098835 w 2266608"/>
              <a:gd name="connsiteY61" fmla="*/ 380415 h 1723571"/>
              <a:gd name="connsiteX62" fmla="*/ 2190408 w 2266608"/>
              <a:gd name="connsiteY62" fmla="*/ 446314 h 1723571"/>
              <a:gd name="connsiteX63" fmla="*/ 2201294 w 2266608"/>
              <a:gd name="connsiteY63" fmla="*/ 558800 h 1723571"/>
              <a:gd name="connsiteX64" fmla="*/ 2237579 w 2266608"/>
              <a:gd name="connsiteY64" fmla="*/ 558800 h 1723571"/>
              <a:gd name="connsiteX65" fmla="*/ 2266608 w 2266608"/>
              <a:gd name="connsiteY65" fmla="*/ 613228 h 1723571"/>
              <a:gd name="connsiteX66" fmla="*/ 2208551 w 2266608"/>
              <a:gd name="connsiteY66" fmla="*/ 620485 h 1723571"/>
              <a:gd name="connsiteX67" fmla="*/ 2154122 w 2266608"/>
              <a:gd name="connsiteY67" fmla="*/ 678542 h 1723571"/>
              <a:gd name="connsiteX68" fmla="*/ 2143237 w 2266608"/>
              <a:gd name="connsiteY68" fmla="*/ 725714 h 1723571"/>
              <a:gd name="connsiteX69" fmla="*/ 2201294 w 2266608"/>
              <a:gd name="connsiteY69" fmla="*/ 751114 h 1723571"/>
              <a:gd name="connsiteX70" fmla="*/ 2165008 w 2266608"/>
              <a:gd name="connsiteY70" fmla="*/ 783771 h 1723571"/>
              <a:gd name="connsiteX71" fmla="*/ 2168637 w 2266608"/>
              <a:gd name="connsiteY71" fmla="*/ 823685 h 1723571"/>
              <a:gd name="connsiteX72" fmla="*/ 2016237 w 2266608"/>
              <a:gd name="connsiteY72" fmla="*/ 1019628 h 1723571"/>
              <a:gd name="connsiteX73" fmla="*/ 1914637 w 2266608"/>
              <a:gd name="connsiteY73" fmla="*/ 1081314 h 1723571"/>
              <a:gd name="connsiteX74" fmla="*/ 1925522 w 2266608"/>
              <a:gd name="connsiteY74" fmla="*/ 1197428 h 1723571"/>
              <a:gd name="connsiteX75" fmla="*/ 1780379 w 2266608"/>
              <a:gd name="connsiteY75" fmla="*/ 1338942 h 1723571"/>
              <a:gd name="connsiteX76" fmla="*/ 1733208 w 2266608"/>
              <a:gd name="connsiteY76" fmla="*/ 1491342 h 1723571"/>
              <a:gd name="connsiteX77" fmla="*/ 1682408 w 2266608"/>
              <a:gd name="connsiteY77" fmla="*/ 1571171 h 1723571"/>
              <a:gd name="connsiteX78" fmla="*/ 1598951 w 2266608"/>
              <a:gd name="connsiteY78" fmla="*/ 1618342 h 1723571"/>
              <a:gd name="connsiteX79" fmla="*/ 1566294 w 2266608"/>
              <a:gd name="connsiteY79" fmla="*/ 1618342 h 1723571"/>
              <a:gd name="connsiteX80" fmla="*/ 1559037 w 2266608"/>
              <a:gd name="connsiteY80" fmla="*/ 1578428 h 1723571"/>
              <a:gd name="connsiteX81" fmla="*/ 1519122 w 2266608"/>
              <a:gd name="connsiteY81" fmla="*/ 1563914 h 1723571"/>
              <a:gd name="connsiteX82" fmla="*/ 1457437 w 2266608"/>
              <a:gd name="connsiteY82" fmla="*/ 1618342 h 1723571"/>
              <a:gd name="connsiteX83" fmla="*/ 1424779 w 2266608"/>
              <a:gd name="connsiteY83" fmla="*/ 1618342 h 1723571"/>
              <a:gd name="connsiteX84" fmla="*/ 1428408 w 2266608"/>
              <a:gd name="connsiteY84" fmla="*/ 1582057 h 1723571"/>
              <a:gd name="connsiteX85" fmla="*/ 1388494 w 2266608"/>
              <a:gd name="connsiteY85" fmla="*/ 1582057 h 1723571"/>
              <a:gd name="connsiteX86" fmla="*/ 1334065 w 2266608"/>
              <a:gd name="connsiteY86" fmla="*/ 1480457 h 1723571"/>
              <a:gd name="connsiteX87" fmla="*/ 1268751 w 2266608"/>
              <a:gd name="connsiteY87" fmla="*/ 1444171 h 1723571"/>
              <a:gd name="connsiteX88" fmla="*/ 1203437 w 2266608"/>
              <a:gd name="connsiteY88" fmla="*/ 1455057 h 1723571"/>
              <a:gd name="connsiteX89" fmla="*/ 1134494 w 2266608"/>
              <a:gd name="connsiteY89" fmla="*/ 1440542 h 1723571"/>
              <a:gd name="connsiteX90" fmla="*/ 1054665 w 2266608"/>
              <a:gd name="connsiteY90" fmla="*/ 1701800 h 1723571"/>
              <a:gd name="connsiteX91" fmla="*/ 989351 w 2266608"/>
              <a:gd name="connsiteY91" fmla="*/ 1607457 h 1723571"/>
              <a:gd name="connsiteX92" fmla="*/ 963951 w 2266608"/>
              <a:gd name="connsiteY92" fmla="*/ 1629228 h 1723571"/>
              <a:gd name="connsiteX93" fmla="*/ 938551 w 2266608"/>
              <a:gd name="connsiteY93" fmla="*/ 1618342 h 1723571"/>
              <a:gd name="connsiteX94" fmla="*/ 905894 w 2266608"/>
              <a:gd name="connsiteY94" fmla="*/ 1636485 h 1723571"/>
              <a:gd name="connsiteX95" fmla="*/ 884122 w 2266608"/>
              <a:gd name="connsiteY95" fmla="*/ 1614714 h 1723571"/>
              <a:gd name="connsiteX96" fmla="*/ 847837 w 2266608"/>
              <a:gd name="connsiteY96" fmla="*/ 1640114 h 1723571"/>
              <a:gd name="connsiteX97" fmla="*/ 844208 w 2266608"/>
              <a:gd name="connsiteY97" fmla="*/ 1680028 h 1723571"/>
              <a:gd name="connsiteX98" fmla="*/ 771637 w 2266608"/>
              <a:gd name="connsiteY98" fmla="*/ 1723571 h 1723571"/>
              <a:gd name="connsiteX99" fmla="*/ 746237 w 2266608"/>
              <a:gd name="connsiteY99" fmla="*/ 1698171 h 1723571"/>
              <a:gd name="connsiteX100" fmla="*/ 655522 w 2266608"/>
              <a:gd name="connsiteY100" fmla="*/ 1719942 h 1723571"/>
              <a:gd name="connsiteX101" fmla="*/ 582951 w 2266608"/>
              <a:gd name="connsiteY101" fmla="*/ 1680028 h 1723571"/>
              <a:gd name="connsiteX102" fmla="*/ 582951 w 2266608"/>
              <a:gd name="connsiteY102" fmla="*/ 1632857 h 1723571"/>
              <a:gd name="connsiteX103" fmla="*/ 626494 w 2266608"/>
              <a:gd name="connsiteY103" fmla="*/ 1589314 h 1723571"/>
              <a:gd name="connsiteX104" fmla="*/ 630122 w 2266608"/>
              <a:gd name="connsiteY104" fmla="*/ 1498600 h 1723571"/>
              <a:gd name="connsiteX105" fmla="*/ 608351 w 2266608"/>
              <a:gd name="connsiteY105" fmla="*/ 1480457 h 1723571"/>
              <a:gd name="connsiteX106" fmla="*/ 514008 w 2266608"/>
              <a:gd name="connsiteY106" fmla="*/ 1440542 h 1723571"/>
              <a:gd name="connsiteX107" fmla="*/ 426922 w 2266608"/>
              <a:gd name="connsiteY107" fmla="*/ 1284514 h 1723571"/>
              <a:gd name="connsiteX108" fmla="*/ 423294 w 2266608"/>
              <a:gd name="connsiteY108" fmla="*/ 1277257 h 1723571"/>
              <a:gd name="connsiteX109" fmla="*/ 347094 w 2266608"/>
              <a:gd name="connsiteY109" fmla="*/ 1349828 h 1723571"/>
              <a:gd name="connsiteX110" fmla="*/ 289037 w 2266608"/>
              <a:gd name="connsiteY110" fmla="*/ 1302657 h 1723571"/>
              <a:gd name="connsiteX111" fmla="*/ 256379 w 2266608"/>
              <a:gd name="connsiteY111" fmla="*/ 1324428 h 1723571"/>
              <a:gd name="connsiteX112" fmla="*/ 187437 w 2266608"/>
              <a:gd name="connsiteY112" fmla="*/ 1320800 h 1723571"/>
              <a:gd name="connsiteX113" fmla="*/ 103979 w 2266608"/>
              <a:gd name="connsiteY113" fmla="*/ 1244600 h 1723571"/>
              <a:gd name="connsiteX0" fmla="*/ 103979 w 2266608"/>
              <a:gd name="connsiteY0" fmla="*/ 1244600 h 1723571"/>
              <a:gd name="connsiteX1" fmla="*/ 116708 w 2266608"/>
              <a:gd name="connsiteY1" fmla="*/ 1059542 h 1723571"/>
              <a:gd name="connsiteX2" fmla="*/ 79233 w 2266608"/>
              <a:gd name="connsiteY2" fmla="*/ 1030514 h 1723571"/>
              <a:gd name="connsiteX3" fmla="*/ 84051 w 2266608"/>
              <a:gd name="connsiteY3" fmla="*/ 979714 h 1723571"/>
              <a:gd name="connsiteX4" fmla="*/ 40508 w 2266608"/>
              <a:gd name="connsiteY4" fmla="*/ 872642 h 1723571"/>
              <a:gd name="connsiteX5" fmla="*/ 0 w 2266608"/>
              <a:gd name="connsiteY5" fmla="*/ 842423 h 1723571"/>
              <a:gd name="connsiteX6" fmla="*/ 35037 w 2266608"/>
              <a:gd name="connsiteY6" fmla="*/ 765628 h 1723571"/>
              <a:gd name="connsiteX7" fmla="*/ 16894 w 2266608"/>
              <a:gd name="connsiteY7" fmla="*/ 700314 h 1723571"/>
              <a:gd name="connsiteX8" fmla="*/ 20522 w 2266608"/>
              <a:gd name="connsiteY8" fmla="*/ 656771 h 1723571"/>
              <a:gd name="connsiteX9" fmla="*/ 64065 w 2266608"/>
              <a:gd name="connsiteY9" fmla="*/ 638628 h 1723571"/>
              <a:gd name="connsiteX10" fmla="*/ 38665 w 2266608"/>
              <a:gd name="connsiteY10" fmla="*/ 566057 h 1723571"/>
              <a:gd name="connsiteX11" fmla="*/ 2379 w 2266608"/>
              <a:gd name="connsiteY11" fmla="*/ 526142 h 1723571"/>
              <a:gd name="connsiteX12" fmla="*/ 85837 w 2266608"/>
              <a:gd name="connsiteY12" fmla="*/ 460828 h 1723571"/>
              <a:gd name="connsiteX13" fmla="*/ 85837 w 2266608"/>
              <a:gd name="connsiteY13" fmla="*/ 449942 h 1723571"/>
              <a:gd name="connsiteX14" fmla="*/ 71322 w 2266608"/>
              <a:gd name="connsiteY14" fmla="*/ 420914 h 1723571"/>
              <a:gd name="connsiteX15" fmla="*/ 136637 w 2266608"/>
              <a:gd name="connsiteY15" fmla="*/ 344714 h 1723571"/>
              <a:gd name="connsiteX16" fmla="*/ 136637 w 2266608"/>
              <a:gd name="connsiteY16" fmla="*/ 290285 h 1723571"/>
              <a:gd name="connsiteX17" fmla="*/ 45922 w 2266608"/>
              <a:gd name="connsiteY17" fmla="*/ 185057 h 1723571"/>
              <a:gd name="connsiteX18" fmla="*/ 93094 w 2266608"/>
              <a:gd name="connsiteY18" fmla="*/ 116114 h 1723571"/>
              <a:gd name="connsiteX19" fmla="*/ 89465 w 2266608"/>
              <a:gd name="connsiteY19" fmla="*/ 43542 h 1723571"/>
              <a:gd name="connsiteX20" fmla="*/ 278151 w 2266608"/>
              <a:gd name="connsiteY20" fmla="*/ 0 h 1723571"/>
              <a:gd name="connsiteX21" fmla="*/ 343465 w 2266608"/>
              <a:gd name="connsiteY21" fmla="*/ 29028 h 1723571"/>
              <a:gd name="connsiteX22" fmla="*/ 397894 w 2266608"/>
              <a:gd name="connsiteY22" fmla="*/ 97971 h 1723571"/>
              <a:gd name="connsiteX23" fmla="*/ 426922 w 2266608"/>
              <a:gd name="connsiteY23" fmla="*/ 195942 h 1723571"/>
              <a:gd name="connsiteX24" fmla="*/ 455951 w 2266608"/>
              <a:gd name="connsiteY24" fmla="*/ 181428 h 1723571"/>
              <a:gd name="connsiteX25" fmla="*/ 492237 w 2266608"/>
              <a:gd name="connsiteY25" fmla="*/ 199571 h 1723571"/>
              <a:gd name="connsiteX26" fmla="*/ 561824 w 2266608"/>
              <a:gd name="connsiteY26" fmla="*/ 353493 h 1723571"/>
              <a:gd name="connsiteX27" fmla="*/ 704186 w 2266608"/>
              <a:gd name="connsiteY27" fmla="*/ 337068 h 1723571"/>
              <a:gd name="connsiteX28" fmla="*/ 757122 w 2266608"/>
              <a:gd name="connsiteY28" fmla="*/ 359228 h 1723571"/>
              <a:gd name="connsiteX29" fmla="*/ 784229 w 2266608"/>
              <a:gd name="connsiteY29" fmla="*/ 324269 h 1723571"/>
              <a:gd name="connsiteX30" fmla="*/ 855094 w 2266608"/>
              <a:gd name="connsiteY30" fmla="*/ 315685 h 1723571"/>
              <a:gd name="connsiteX31" fmla="*/ 908449 w 2266608"/>
              <a:gd name="connsiteY31" fmla="*/ 264496 h 1723571"/>
              <a:gd name="connsiteX32" fmla="*/ 1003865 w 2266608"/>
              <a:gd name="connsiteY32" fmla="*/ 297542 h 1723571"/>
              <a:gd name="connsiteX33" fmla="*/ 1025637 w 2266608"/>
              <a:gd name="connsiteY33" fmla="*/ 319314 h 1723571"/>
              <a:gd name="connsiteX34" fmla="*/ 1058294 w 2266608"/>
              <a:gd name="connsiteY34" fmla="*/ 337457 h 1723571"/>
              <a:gd name="connsiteX35" fmla="*/ 1051037 w 2266608"/>
              <a:gd name="connsiteY35" fmla="*/ 373742 h 1723571"/>
              <a:gd name="connsiteX36" fmla="*/ 1101837 w 2266608"/>
              <a:gd name="connsiteY36" fmla="*/ 377371 h 1723571"/>
              <a:gd name="connsiteX37" fmla="*/ 1119979 w 2266608"/>
              <a:gd name="connsiteY37" fmla="*/ 424542 h 1723571"/>
              <a:gd name="connsiteX38" fmla="*/ 1119979 w 2266608"/>
              <a:gd name="connsiteY38" fmla="*/ 431800 h 1723571"/>
              <a:gd name="connsiteX39" fmla="*/ 1098208 w 2266608"/>
              <a:gd name="connsiteY39" fmla="*/ 468085 h 1723571"/>
              <a:gd name="connsiteX40" fmla="*/ 1112722 w 2266608"/>
              <a:gd name="connsiteY40" fmla="*/ 518885 h 1723571"/>
              <a:gd name="connsiteX41" fmla="*/ 1163522 w 2266608"/>
              <a:gd name="connsiteY41" fmla="*/ 540657 h 1723571"/>
              <a:gd name="connsiteX42" fmla="*/ 1250608 w 2266608"/>
              <a:gd name="connsiteY42" fmla="*/ 562428 h 1723571"/>
              <a:gd name="connsiteX43" fmla="*/ 1265122 w 2266608"/>
              <a:gd name="connsiteY43" fmla="*/ 566057 h 1723571"/>
              <a:gd name="connsiteX44" fmla="*/ 1272379 w 2266608"/>
              <a:gd name="connsiteY44" fmla="*/ 605971 h 1723571"/>
              <a:gd name="connsiteX45" fmla="*/ 1330008 w 2266608"/>
              <a:gd name="connsiteY45" fmla="*/ 578660 h 1723571"/>
              <a:gd name="connsiteX46" fmla="*/ 1342244 w 2266608"/>
              <a:gd name="connsiteY46" fmla="*/ 539147 h 1723571"/>
              <a:gd name="connsiteX47" fmla="*/ 1419438 w 2266608"/>
              <a:gd name="connsiteY47" fmla="*/ 511628 h 1723571"/>
              <a:gd name="connsiteX48" fmla="*/ 1464479 w 2266608"/>
              <a:gd name="connsiteY48" fmla="*/ 524037 h 1723571"/>
              <a:gd name="connsiteX49" fmla="*/ 1487744 w 2266608"/>
              <a:gd name="connsiteY49" fmla="*/ 500354 h 1723571"/>
              <a:gd name="connsiteX50" fmla="*/ 1484156 w 2266608"/>
              <a:gd name="connsiteY50" fmla="*/ 440654 h 1723571"/>
              <a:gd name="connsiteX51" fmla="*/ 1518915 w 2266608"/>
              <a:gd name="connsiteY51" fmla="*/ 371903 h 1723571"/>
              <a:gd name="connsiteX52" fmla="*/ 1549429 w 2266608"/>
              <a:gd name="connsiteY52" fmla="*/ 380416 h 1723571"/>
              <a:gd name="connsiteX53" fmla="*/ 1586286 w 2266608"/>
              <a:gd name="connsiteY53" fmla="*/ 312464 h 1723571"/>
              <a:gd name="connsiteX54" fmla="*/ 1692435 w 2266608"/>
              <a:gd name="connsiteY54" fmla="*/ 250177 h 1723571"/>
              <a:gd name="connsiteX55" fmla="*/ 1774401 w 2266608"/>
              <a:gd name="connsiteY55" fmla="*/ 302304 h 1723571"/>
              <a:gd name="connsiteX56" fmla="*/ 1833886 w 2266608"/>
              <a:gd name="connsiteY56" fmla="*/ 291547 h 1723571"/>
              <a:gd name="connsiteX57" fmla="*/ 1852951 w 2266608"/>
              <a:gd name="connsiteY57" fmla="*/ 293914 h 1723571"/>
              <a:gd name="connsiteX58" fmla="*/ 1921250 w 2266608"/>
              <a:gd name="connsiteY58" fmla="*/ 333633 h 1723571"/>
              <a:gd name="connsiteX59" fmla="*/ 1968851 w 2266608"/>
              <a:gd name="connsiteY59" fmla="*/ 308038 h 1723571"/>
              <a:gd name="connsiteX60" fmla="*/ 2057634 w 2266608"/>
              <a:gd name="connsiteY60" fmla="*/ 381744 h 1723571"/>
              <a:gd name="connsiteX61" fmla="*/ 2098835 w 2266608"/>
              <a:gd name="connsiteY61" fmla="*/ 380415 h 1723571"/>
              <a:gd name="connsiteX62" fmla="*/ 2190408 w 2266608"/>
              <a:gd name="connsiteY62" fmla="*/ 446314 h 1723571"/>
              <a:gd name="connsiteX63" fmla="*/ 2201294 w 2266608"/>
              <a:gd name="connsiteY63" fmla="*/ 558800 h 1723571"/>
              <a:gd name="connsiteX64" fmla="*/ 2237579 w 2266608"/>
              <a:gd name="connsiteY64" fmla="*/ 558800 h 1723571"/>
              <a:gd name="connsiteX65" fmla="*/ 2266608 w 2266608"/>
              <a:gd name="connsiteY65" fmla="*/ 613228 h 1723571"/>
              <a:gd name="connsiteX66" fmla="*/ 2208551 w 2266608"/>
              <a:gd name="connsiteY66" fmla="*/ 620485 h 1723571"/>
              <a:gd name="connsiteX67" fmla="*/ 2154122 w 2266608"/>
              <a:gd name="connsiteY67" fmla="*/ 678542 h 1723571"/>
              <a:gd name="connsiteX68" fmla="*/ 2143237 w 2266608"/>
              <a:gd name="connsiteY68" fmla="*/ 725714 h 1723571"/>
              <a:gd name="connsiteX69" fmla="*/ 2201294 w 2266608"/>
              <a:gd name="connsiteY69" fmla="*/ 751114 h 1723571"/>
              <a:gd name="connsiteX70" fmla="*/ 2165008 w 2266608"/>
              <a:gd name="connsiteY70" fmla="*/ 783771 h 1723571"/>
              <a:gd name="connsiteX71" fmla="*/ 2168637 w 2266608"/>
              <a:gd name="connsiteY71" fmla="*/ 823685 h 1723571"/>
              <a:gd name="connsiteX72" fmla="*/ 2016237 w 2266608"/>
              <a:gd name="connsiteY72" fmla="*/ 1019628 h 1723571"/>
              <a:gd name="connsiteX73" fmla="*/ 1914637 w 2266608"/>
              <a:gd name="connsiteY73" fmla="*/ 1081314 h 1723571"/>
              <a:gd name="connsiteX74" fmla="*/ 1925522 w 2266608"/>
              <a:gd name="connsiteY74" fmla="*/ 1197428 h 1723571"/>
              <a:gd name="connsiteX75" fmla="*/ 1780379 w 2266608"/>
              <a:gd name="connsiteY75" fmla="*/ 1338942 h 1723571"/>
              <a:gd name="connsiteX76" fmla="*/ 1733208 w 2266608"/>
              <a:gd name="connsiteY76" fmla="*/ 1491342 h 1723571"/>
              <a:gd name="connsiteX77" fmla="*/ 1682408 w 2266608"/>
              <a:gd name="connsiteY77" fmla="*/ 1571171 h 1723571"/>
              <a:gd name="connsiteX78" fmla="*/ 1598951 w 2266608"/>
              <a:gd name="connsiteY78" fmla="*/ 1618342 h 1723571"/>
              <a:gd name="connsiteX79" fmla="*/ 1566294 w 2266608"/>
              <a:gd name="connsiteY79" fmla="*/ 1618342 h 1723571"/>
              <a:gd name="connsiteX80" fmla="*/ 1559037 w 2266608"/>
              <a:gd name="connsiteY80" fmla="*/ 1578428 h 1723571"/>
              <a:gd name="connsiteX81" fmla="*/ 1519122 w 2266608"/>
              <a:gd name="connsiteY81" fmla="*/ 1563914 h 1723571"/>
              <a:gd name="connsiteX82" fmla="*/ 1457437 w 2266608"/>
              <a:gd name="connsiteY82" fmla="*/ 1618342 h 1723571"/>
              <a:gd name="connsiteX83" fmla="*/ 1424779 w 2266608"/>
              <a:gd name="connsiteY83" fmla="*/ 1618342 h 1723571"/>
              <a:gd name="connsiteX84" fmla="*/ 1428408 w 2266608"/>
              <a:gd name="connsiteY84" fmla="*/ 1582057 h 1723571"/>
              <a:gd name="connsiteX85" fmla="*/ 1388494 w 2266608"/>
              <a:gd name="connsiteY85" fmla="*/ 1582057 h 1723571"/>
              <a:gd name="connsiteX86" fmla="*/ 1334065 w 2266608"/>
              <a:gd name="connsiteY86" fmla="*/ 1480457 h 1723571"/>
              <a:gd name="connsiteX87" fmla="*/ 1268751 w 2266608"/>
              <a:gd name="connsiteY87" fmla="*/ 1444171 h 1723571"/>
              <a:gd name="connsiteX88" fmla="*/ 1203437 w 2266608"/>
              <a:gd name="connsiteY88" fmla="*/ 1455057 h 1723571"/>
              <a:gd name="connsiteX89" fmla="*/ 1134494 w 2266608"/>
              <a:gd name="connsiteY89" fmla="*/ 1440542 h 1723571"/>
              <a:gd name="connsiteX90" fmla="*/ 1054665 w 2266608"/>
              <a:gd name="connsiteY90" fmla="*/ 1701800 h 1723571"/>
              <a:gd name="connsiteX91" fmla="*/ 989351 w 2266608"/>
              <a:gd name="connsiteY91" fmla="*/ 1607457 h 1723571"/>
              <a:gd name="connsiteX92" fmla="*/ 963951 w 2266608"/>
              <a:gd name="connsiteY92" fmla="*/ 1629228 h 1723571"/>
              <a:gd name="connsiteX93" fmla="*/ 938551 w 2266608"/>
              <a:gd name="connsiteY93" fmla="*/ 1618342 h 1723571"/>
              <a:gd name="connsiteX94" fmla="*/ 905894 w 2266608"/>
              <a:gd name="connsiteY94" fmla="*/ 1636485 h 1723571"/>
              <a:gd name="connsiteX95" fmla="*/ 884122 w 2266608"/>
              <a:gd name="connsiteY95" fmla="*/ 1614714 h 1723571"/>
              <a:gd name="connsiteX96" fmla="*/ 847837 w 2266608"/>
              <a:gd name="connsiteY96" fmla="*/ 1640114 h 1723571"/>
              <a:gd name="connsiteX97" fmla="*/ 844208 w 2266608"/>
              <a:gd name="connsiteY97" fmla="*/ 1680028 h 1723571"/>
              <a:gd name="connsiteX98" fmla="*/ 771637 w 2266608"/>
              <a:gd name="connsiteY98" fmla="*/ 1723571 h 1723571"/>
              <a:gd name="connsiteX99" fmla="*/ 746237 w 2266608"/>
              <a:gd name="connsiteY99" fmla="*/ 1698171 h 1723571"/>
              <a:gd name="connsiteX100" fmla="*/ 655522 w 2266608"/>
              <a:gd name="connsiteY100" fmla="*/ 1719942 h 1723571"/>
              <a:gd name="connsiteX101" fmla="*/ 582951 w 2266608"/>
              <a:gd name="connsiteY101" fmla="*/ 1680028 h 1723571"/>
              <a:gd name="connsiteX102" fmla="*/ 582951 w 2266608"/>
              <a:gd name="connsiteY102" fmla="*/ 1632857 h 1723571"/>
              <a:gd name="connsiteX103" fmla="*/ 626494 w 2266608"/>
              <a:gd name="connsiteY103" fmla="*/ 1589314 h 1723571"/>
              <a:gd name="connsiteX104" fmla="*/ 630122 w 2266608"/>
              <a:gd name="connsiteY104" fmla="*/ 1498600 h 1723571"/>
              <a:gd name="connsiteX105" fmla="*/ 608351 w 2266608"/>
              <a:gd name="connsiteY105" fmla="*/ 1480457 h 1723571"/>
              <a:gd name="connsiteX106" fmla="*/ 514008 w 2266608"/>
              <a:gd name="connsiteY106" fmla="*/ 1440542 h 1723571"/>
              <a:gd name="connsiteX107" fmla="*/ 426922 w 2266608"/>
              <a:gd name="connsiteY107" fmla="*/ 1284514 h 1723571"/>
              <a:gd name="connsiteX108" fmla="*/ 423294 w 2266608"/>
              <a:gd name="connsiteY108" fmla="*/ 1277257 h 1723571"/>
              <a:gd name="connsiteX109" fmla="*/ 347094 w 2266608"/>
              <a:gd name="connsiteY109" fmla="*/ 1349828 h 1723571"/>
              <a:gd name="connsiteX110" fmla="*/ 289037 w 2266608"/>
              <a:gd name="connsiteY110" fmla="*/ 1302657 h 1723571"/>
              <a:gd name="connsiteX111" fmla="*/ 256379 w 2266608"/>
              <a:gd name="connsiteY111" fmla="*/ 1324428 h 1723571"/>
              <a:gd name="connsiteX112" fmla="*/ 187437 w 2266608"/>
              <a:gd name="connsiteY112" fmla="*/ 1320800 h 1723571"/>
              <a:gd name="connsiteX113" fmla="*/ 103979 w 2266608"/>
              <a:gd name="connsiteY113" fmla="*/ 1244600 h 1723571"/>
              <a:gd name="connsiteX0" fmla="*/ 103979 w 2266608"/>
              <a:gd name="connsiteY0" fmla="*/ 1244600 h 1723571"/>
              <a:gd name="connsiteX1" fmla="*/ 116708 w 2266608"/>
              <a:gd name="connsiteY1" fmla="*/ 1059542 h 1723571"/>
              <a:gd name="connsiteX2" fmla="*/ 79233 w 2266608"/>
              <a:gd name="connsiteY2" fmla="*/ 1030514 h 1723571"/>
              <a:gd name="connsiteX3" fmla="*/ 84051 w 2266608"/>
              <a:gd name="connsiteY3" fmla="*/ 979714 h 1723571"/>
              <a:gd name="connsiteX4" fmla="*/ 40508 w 2266608"/>
              <a:gd name="connsiteY4" fmla="*/ 872642 h 1723571"/>
              <a:gd name="connsiteX5" fmla="*/ 0 w 2266608"/>
              <a:gd name="connsiteY5" fmla="*/ 842423 h 1723571"/>
              <a:gd name="connsiteX6" fmla="*/ 35037 w 2266608"/>
              <a:gd name="connsiteY6" fmla="*/ 765628 h 1723571"/>
              <a:gd name="connsiteX7" fmla="*/ 20522 w 2266608"/>
              <a:gd name="connsiteY7" fmla="*/ 656771 h 1723571"/>
              <a:gd name="connsiteX8" fmla="*/ 64065 w 2266608"/>
              <a:gd name="connsiteY8" fmla="*/ 638628 h 1723571"/>
              <a:gd name="connsiteX9" fmla="*/ 38665 w 2266608"/>
              <a:gd name="connsiteY9" fmla="*/ 566057 h 1723571"/>
              <a:gd name="connsiteX10" fmla="*/ 2379 w 2266608"/>
              <a:gd name="connsiteY10" fmla="*/ 526142 h 1723571"/>
              <a:gd name="connsiteX11" fmla="*/ 85837 w 2266608"/>
              <a:gd name="connsiteY11" fmla="*/ 460828 h 1723571"/>
              <a:gd name="connsiteX12" fmla="*/ 85837 w 2266608"/>
              <a:gd name="connsiteY12" fmla="*/ 449942 h 1723571"/>
              <a:gd name="connsiteX13" fmla="*/ 71322 w 2266608"/>
              <a:gd name="connsiteY13" fmla="*/ 420914 h 1723571"/>
              <a:gd name="connsiteX14" fmla="*/ 136637 w 2266608"/>
              <a:gd name="connsiteY14" fmla="*/ 344714 h 1723571"/>
              <a:gd name="connsiteX15" fmla="*/ 136637 w 2266608"/>
              <a:gd name="connsiteY15" fmla="*/ 290285 h 1723571"/>
              <a:gd name="connsiteX16" fmla="*/ 45922 w 2266608"/>
              <a:gd name="connsiteY16" fmla="*/ 185057 h 1723571"/>
              <a:gd name="connsiteX17" fmla="*/ 93094 w 2266608"/>
              <a:gd name="connsiteY17" fmla="*/ 116114 h 1723571"/>
              <a:gd name="connsiteX18" fmla="*/ 89465 w 2266608"/>
              <a:gd name="connsiteY18" fmla="*/ 43542 h 1723571"/>
              <a:gd name="connsiteX19" fmla="*/ 278151 w 2266608"/>
              <a:gd name="connsiteY19" fmla="*/ 0 h 1723571"/>
              <a:gd name="connsiteX20" fmla="*/ 343465 w 2266608"/>
              <a:gd name="connsiteY20" fmla="*/ 29028 h 1723571"/>
              <a:gd name="connsiteX21" fmla="*/ 397894 w 2266608"/>
              <a:gd name="connsiteY21" fmla="*/ 97971 h 1723571"/>
              <a:gd name="connsiteX22" fmla="*/ 426922 w 2266608"/>
              <a:gd name="connsiteY22" fmla="*/ 195942 h 1723571"/>
              <a:gd name="connsiteX23" fmla="*/ 455951 w 2266608"/>
              <a:gd name="connsiteY23" fmla="*/ 181428 h 1723571"/>
              <a:gd name="connsiteX24" fmla="*/ 492237 w 2266608"/>
              <a:gd name="connsiteY24" fmla="*/ 199571 h 1723571"/>
              <a:gd name="connsiteX25" fmla="*/ 561824 w 2266608"/>
              <a:gd name="connsiteY25" fmla="*/ 353493 h 1723571"/>
              <a:gd name="connsiteX26" fmla="*/ 704186 w 2266608"/>
              <a:gd name="connsiteY26" fmla="*/ 337068 h 1723571"/>
              <a:gd name="connsiteX27" fmla="*/ 757122 w 2266608"/>
              <a:gd name="connsiteY27" fmla="*/ 359228 h 1723571"/>
              <a:gd name="connsiteX28" fmla="*/ 784229 w 2266608"/>
              <a:gd name="connsiteY28" fmla="*/ 324269 h 1723571"/>
              <a:gd name="connsiteX29" fmla="*/ 855094 w 2266608"/>
              <a:gd name="connsiteY29" fmla="*/ 315685 h 1723571"/>
              <a:gd name="connsiteX30" fmla="*/ 908449 w 2266608"/>
              <a:gd name="connsiteY30" fmla="*/ 264496 h 1723571"/>
              <a:gd name="connsiteX31" fmla="*/ 1003865 w 2266608"/>
              <a:gd name="connsiteY31" fmla="*/ 297542 h 1723571"/>
              <a:gd name="connsiteX32" fmla="*/ 1025637 w 2266608"/>
              <a:gd name="connsiteY32" fmla="*/ 319314 h 1723571"/>
              <a:gd name="connsiteX33" fmla="*/ 1058294 w 2266608"/>
              <a:gd name="connsiteY33" fmla="*/ 337457 h 1723571"/>
              <a:gd name="connsiteX34" fmla="*/ 1051037 w 2266608"/>
              <a:gd name="connsiteY34" fmla="*/ 373742 h 1723571"/>
              <a:gd name="connsiteX35" fmla="*/ 1101837 w 2266608"/>
              <a:gd name="connsiteY35" fmla="*/ 377371 h 1723571"/>
              <a:gd name="connsiteX36" fmla="*/ 1119979 w 2266608"/>
              <a:gd name="connsiteY36" fmla="*/ 424542 h 1723571"/>
              <a:gd name="connsiteX37" fmla="*/ 1119979 w 2266608"/>
              <a:gd name="connsiteY37" fmla="*/ 431800 h 1723571"/>
              <a:gd name="connsiteX38" fmla="*/ 1098208 w 2266608"/>
              <a:gd name="connsiteY38" fmla="*/ 468085 h 1723571"/>
              <a:gd name="connsiteX39" fmla="*/ 1112722 w 2266608"/>
              <a:gd name="connsiteY39" fmla="*/ 518885 h 1723571"/>
              <a:gd name="connsiteX40" fmla="*/ 1163522 w 2266608"/>
              <a:gd name="connsiteY40" fmla="*/ 540657 h 1723571"/>
              <a:gd name="connsiteX41" fmla="*/ 1250608 w 2266608"/>
              <a:gd name="connsiteY41" fmla="*/ 562428 h 1723571"/>
              <a:gd name="connsiteX42" fmla="*/ 1265122 w 2266608"/>
              <a:gd name="connsiteY42" fmla="*/ 566057 h 1723571"/>
              <a:gd name="connsiteX43" fmla="*/ 1272379 w 2266608"/>
              <a:gd name="connsiteY43" fmla="*/ 605971 h 1723571"/>
              <a:gd name="connsiteX44" fmla="*/ 1330008 w 2266608"/>
              <a:gd name="connsiteY44" fmla="*/ 578660 h 1723571"/>
              <a:gd name="connsiteX45" fmla="*/ 1342244 w 2266608"/>
              <a:gd name="connsiteY45" fmla="*/ 539147 h 1723571"/>
              <a:gd name="connsiteX46" fmla="*/ 1419438 w 2266608"/>
              <a:gd name="connsiteY46" fmla="*/ 511628 h 1723571"/>
              <a:gd name="connsiteX47" fmla="*/ 1464479 w 2266608"/>
              <a:gd name="connsiteY47" fmla="*/ 524037 h 1723571"/>
              <a:gd name="connsiteX48" fmla="*/ 1487744 w 2266608"/>
              <a:gd name="connsiteY48" fmla="*/ 500354 h 1723571"/>
              <a:gd name="connsiteX49" fmla="*/ 1484156 w 2266608"/>
              <a:gd name="connsiteY49" fmla="*/ 440654 h 1723571"/>
              <a:gd name="connsiteX50" fmla="*/ 1518915 w 2266608"/>
              <a:gd name="connsiteY50" fmla="*/ 371903 h 1723571"/>
              <a:gd name="connsiteX51" fmla="*/ 1549429 w 2266608"/>
              <a:gd name="connsiteY51" fmla="*/ 380416 h 1723571"/>
              <a:gd name="connsiteX52" fmla="*/ 1586286 w 2266608"/>
              <a:gd name="connsiteY52" fmla="*/ 312464 h 1723571"/>
              <a:gd name="connsiteX53" fmla="*/ 1692435 w 2266608"/>
              <a:gd name="connsiteY53" fmla="*/ 250177 h 1723571"/>
              <a:gd name="connsiteX54" fmla="*/ 1774401 w 2266608"/>
              <a:gd name="connsiteY54" fmla="*/ 302304 h 1723571"/>
              <a:gd name="connsiteX55" fmla="*/ 1833886 w 2266608"/>
              <a:gd name="connsiteY55" fmla="*/ 291547 h 1723571"/>
              <a:gd name="connsiteX56" fmla="*/ 1852951 w 2266608"/>
              <a:gd name="connsiteY56" fmla="*/ 293914 h 1723571"/>
              <a:gd name="connsiteX57" fmla="*/ 1921250 w 2266608"/>
              <a:gd name="connsiteY57" fmla="*/ 333633 h 1723571"/>
              <a:gd name="connsiteX58" fmla="*/ 1968851 w 2266608"/>
              <a:gd name="connsiteY58" fmla="*/ 308038 h 1723571"/>
              <a:gd name="connsiteX59" fmla="*/ 2057634 w 2266608"/>
              <a:gd name="connsiteY59" fmla="*/ 381744 h 1723571"/>
              <a:gd name="connsiteX60" fmla="*/ 2098835 w 2266608"/>
              <a:gd name="connsiteY60" fmla="*/ 380415 h 1723571"/>
              <a:gd name="connsiteX61" fmla="*/ 2190408 w 2266608"/>
              <a:gd name="connsiteY61" fmla="*/ 446314 h 1723571"/>
              <a:gd name="connsiteX62" fmla="*/ 2201294 w 2266608"/>
              <a:gd name="connsiteY62" fmla="*/ 558800 h 1723571"/>
              <a:gd name="connsiteX63" fmla="*/ 2237579 w 2266608"/>
              <a:gd name="connsiteY63" fmla="*/ 558800 h 1723571"/>
              <a:gd name="connsiteX64" fmla="*/ 2266608 w 2266608"/>
              <a:gd name="connsiteY64" fmla="*/ 613228 h 1723571"/>
              <a:gd name="connsiteX65" fmla="*/ 2208551 w 2266608"/>
              <a:gd name="connsiteY65" fmla="*/ 620485 h 1723571"/>
              <a:gd name="connsiteX66" fmla="*/ 2154122 w 2266608"/>
              <a:gd name="connsiteY66" fmla="*/ 678542 h 1723571"/>
              <a:gd name="connsiteX67" fmla="*/ 2143237 w 2266608"/>
              <a:gd name="connsiteY67" fmla="*/ 725714 h 1723571"/>
              <a:gd name="connsiteX68" fmla="*/ 2201294 w 2266608"/>
              <a:gd name="connsiteY68" fmla="*/ 751114 h 1723571"/>
              <a:gd name="connsiteX69" fmla="*/ 2165008 w 2266608"/>
              <a:gd name="connsiteY69" fmla="*/ 783771 h 1723571"/>
              <a:gd name="connsiteX70" fmla="*/ 2168637 w 2266608"/>
              <a:gd name="connsiteY70" fmla="*/ 823685 h 1723571"/>
              <a:gd name="connsiteX71" fmla="*/ 2016237 w 2266608"/>
              <a:gd name="connsiteY71" fmla="*/ 1019628 h 1723571"/>
              <a:gd name="connsiteX72" fmla="*/ 1914637 w 2266608"/>
              <a:gd name="connsiteY72" fmla="*/ 1081314 h 1723571"/>
              <a:gd name="connsiteX73" fmla="*/ 1925522 w 2266608"/>
              <a:gd name="connsiteY73" fmla="*/ 1197428 h 1723571"/>
              <a:gd name="connsiteX74" fmla="*/ 1780379 w 2266608"/>
              <a:gd name="connsiteY74" fmla="*/ 1338942 h 1723571"/>
              <a:gd name="connsiteX75" fmla="*/ 1733208 w 2266608"/>
              <a:gd name="connsiteY75" fmla="*/ 1491342 h 1723571"/>
              <a:gd name="connsiteX76" fmla="*/ 1682408 w 2266608"/>
              <a:gd name="connsiteY76" fmla="*/ 1571171 h 1723571"/>
              <a:gd name="connsiteX77" fmla="*/ 1598951 w 2266608"/>
              <a:gd name="connsiteY77" fmla="*/ 1618342 h 1723571"/>
              <a:gd name="connsiteX78" fmla="*/ 1566294 w 2266608"/>
              <a:gd name="connsiteY78" fmla="*/ 1618342 h 1723571"/>
              <a:gd name="connsiteX79" fmla="*/ 1559037 w 2266608"/>
              <a:gd name="connsiteY79" fmla="*/ 1578428 h 1723571"/>
              <a:gd name="connsiteX80" fmla="*/ 1519122 w 2266608"/>
              <a:gd name="connsiteY80" fmla="*/ 1563914 h 1723571"/>
              <a:gd name="connsiteX81" fmla="*/ 1457437 w 2266608"/>
              <a:gd name="connsiteY81" fmla="*/ 1618342 h 1723571"/>
              <a:gd name="connsiteX82" fmla="*/ 1424779 w 2266608"/>
              <a:gd name="connsiteY82" fmla="*/ 1618342 h 1723571"/>
              <a:gd name="connsiteX83" fmla="*/ 1428408 w 2266608"/>
              <a:gd name="connsiteY83" fmla="*/ 1582057 h 1723571"/>
              <a:gd name="connsiteX84" fmla="*/ 1388494 w 2266608"/>
              <a:gd name="connsiteY84" fmla="*/ 1582057 h 1723571"/>
              <a:gd name="connsiteX85" fmla="*/ 1334065 w 2266608"/>
              <a:gd name="connsiteY85" fmla="*/ 1480457 h 1723571"/>
              <a:gd name="connsiteX86" fmla="*/ 1268751 w 2266608"/>
              <a:gd name="connsiteY86" fmla="*/ 1444171 h 1723571"/>
              <a:gd name="connsiteX87" fmla="*/ 1203437 w 2266608"/>
              <a:gd name="connsiteY87" fmla="*/ 1455057 h 1723571"/>
              <a:gd name="connsiteX88" fmla="*/ 1134494 w 2266608"/>
              <a:gd name="connsiteY88" fmla="*/ 1440542 h 1723571"/>
              <a:gd name="connsiteX89" fmla="*/ 1054665 w 2266608"/>
              <a:gd name="connsiteY89" fmla="*/ 1701800 h 1723571"/>
              <a:gd name="connsiteX90" fmla="*/ 989351 w 2266608"/>
              <a:gd name="connsiteY90" fmla="*/ 1607457 h 1723571"/>
              <a:gd name="connsiteX91" fmla="*/ 963951 w 2266608"/>
              <a:gd name="connsiteY91" fmla="*/ 1629228 h 1723571"/>
              <a:gd name="connsiteX92" fmla="*/ 938551 w 2266608"/>
              <a:gd name="connsiteY92" fmla="*/ 1618342 h 1723571"/>
              <a:gd name="connsiteX93" fmla="*/ 905894 w 2266608"/>
              <a:gd name="connsiteY93" fmla="*/ 1636485 h 1723571"/>
              <a:gd name="connsiteX94" fmla="*/ 884122 w 2266608"/>
              <a:gd name="connsiteY94" fmla="*/ 1614714 h 1723571"/>
              <a:gd name="connsiteX95" fmla="*/ 847837 w 2266608"/>
              <a:gd name="connsiteY95" fmla="*/ 1640114 h 1723571"/>
              <a:gd name="connsiteX96" fmla="*/ 844208 w 2266608"/>
              <a:gd name="connsiteY96" fmla="*/ 1680028 h 1723571"/>
              <a:gd name="connsiteX97" fmla="*/ 771637 w 2266608"/>
              <a:gd name="connsiteY97" fmla="*/ 1723571 h 1723571"/>
              <a:gd name="connsiteX98" fmla="*/ 746237 w 2266608"/>
              <a:gd name="connsiteY98" fmla="*/ 1698171 h 1723571"/>
              <a:gd name="connsiteX99" fmla="*/ 655522 w 2266608"/>
              <a:gd name="connsiteY99" fmla="*/ 1719942 h 1723571"/>
              <a:gd name="connsiteX100" fmla="*/ 582951 w 2266608"/>
              <a:gd name="connsiteY100" fmla="*/ 1680028 h 1723571"/>
              <a:gd name="connsiteX101" fmla="*/ 582951 w 2266608"/>
              <a:gd name="connsiteY101" fmla="*/ 1632857 h 1723571"/>
              <a:gd name="connsiteX102" fmla="*/ 626494 w 2266608"/>
              <a:gd name="connsiteY102" fmla="*/ 1589314 h 1723571"/>
              <a:gd name="connsiteX103" fmla="*/ 630122 w 2266608"/>
              <a:gd name="connsiteY103" fmla="*/ 1498600 h 1723571"/>
              <a:gd name="connsiteX104" fmla="*/ 608351 w 2266608"/>
              <a:gd name="connsiteY104" fmla="*/ 1480457 h 1723571"/>
              <a:gd name="connsiteX105" fmla="*/ 514008 w 2266608"/>
              <a:gd name="connsiteY105" fmla="*/ 1440542 h 1723571"/>
              <a:gd name="connsiteX106" fmla="*/ 426922 w 2266608"/>
              <a:gd name="connsiteY106" fmla="*/ 1284514 h 1723571"/>
              <a:gd name="connsiteX107" fmla="*/ 423294 w 2266608"/>
              <a:gd name="connsiteY107" fmla="*/ 1277257 h 1723571"/>
              <a:gd name="connsiteX108" fmla="*/ 347094 w 2266608"/>
              <a:gd name="connsiteY108" fmla="*/ 1349828 h 1723571"/>
              <a:gd name="connsiteX109" fmla="*/ 289037 w 2266608"/>
              <a:gd name="connsiteY109" fmla="*/ 1302657 h 1723571"/>
              <a:gd name="connsiteX110" fmla="*/ 256379 w 2266608"/>
              <a:gd name="connsiteY110" fmla="*/ 1324428 h 1723571"/>
              <a:gd name="connsiteX111" fmla="*/ 187437 w 2266608"/>
              <a:gd name="connsiteY111" fmla="*/ 1320800 h 1723571"/>
              <a:gd name="connsiteX112" fmla="*/ 103979 w 2266608"/>
              <a:gd name="connsiteY112" fmla="*/ 1244600 h 1723571"/>
              <a:gd name="connsiteX0" fmla="*/ 103979 w 2266608"/>
              <a:gd name="connsiteY0" fmla="*/ 1244600 h 1723571"/>
              <a:gd name="connsiteX1" fmla="*/ 116708 w 2266608"/>
              <a:gd name="connsiteY1" fmla="*/ 1059542 h 1723571"/>
              <a:gd name="connsiteX2" fmla="*/ 79233 w 2266608"/>
              <a:gd name="connsiteY2" fmla="*/ 1030514 h 1723571"/>
              <a:gd name="connsiteX3" fmla="*/ 84051 w 2266608"/>
              <a:gd name="connsiteY3" fmla="*/ 979714 h 1723571"/>
              <a:gd name="connsiteX4" fmla="*/ 40508 w 2266608"/>
              <a:gd name="connsiteY4" fmla="*/ 872642 h 1723571"/>
              <a:gd name="connsiteX5" fmla="*/ 0 w 2266608"/>
              <a:gd name="connsiteY5" fmla="*/ 842423 h 1723571"/>
              <a:gd name="connsiteX6" fmla="*/ 22366 w 2266608"/>
              <a:gd name="connsiteY6" fmla="*/ 765628 h 1723571"/>
              <a:gd name="connsiteX7" fmla="*/ 20522 w 2266608"/>
              <a:gd name="connsiteY7" fmla="*/ 656771 h 1723571"/>
              <a:gd name="connsiteX8" fmla="*/ 64065 w 2266608"/>
              <a:gd name="connsiteY8" fmla="*/ 638628 h 1723571"/>
              <a:gd name="connsiteX9" fmla="*/ 38665 w 2266608"/>
              <a:gd name="connsiteY9" fmla="*/ 566057 h 1723571"/>
              <a:gd name="connsiteX10" fmla="*/ 2379 w 2266608"/>
              <a:gd name="connsiteY10" fmla="*/ 526142 h 1723571"/>
              <a:gd name="connsiteX11" fmla="*/ 85837 w 2266608"/>
              <a:gd name="connsiteY11" fmla="*/ 460828 h 1723571"/>
              <a:gd name="connsiteX12" fmla="*/ 85837 w 2266608"/>
              <a:gd name="connsiteY12" fmla="*/ 449942 h 1723571"/>
              <a:gd name="connsiteX13" fmla="*/ 71322 w 2266608"/>
              <a:gd name="connsiteY13" fmla="*/ 420914 h 1723571"/>
              <a:gd name="connsiteX14" fmla="*/ 136637 w 2266608"/>
              <a:gd name="connsiteY14" fmla="*/ 344714 h 1723571"/>
              <a:gd name="connsiteX15" fmla="*/ 136637 w 2266608"/>
              <a:gd name="connsiteY15" fmla="*/ 290285 h 1723571"/>
              <a:gd name="connsiteX16" fmla="*/ 45922 w 2266608"/>
              <a:gd name="connsiteY16" fmla="*/ 185057 h 1723571"/>
              <a:gd name="connsiteX17" fmla="*/ 93094 w 2266608"/>
              <a:gd name="connsiteY17" fmla="*/ 116114 h 1723571"/>
              <a:gd name="connsiteX18" fmla="*/ 89465 w 2266608"/>
              <a:gd name="connsiteY18" fmla="*/ 43542 h 1723571"/>
              <a:gd name="connsiteX19" fmla="*/ 278151 w 2266608"/>
              <a:gd name="connsiteY19" fmla="*/ 0 h 1723571"/>
              <a:gd name="connsiteX20" fmla="*/ 343465 w 2266608"/>
              <a:gd name="connsiteY20" fmla="*/ 29028 h 1723571"/>
              <a:gd name="connsiteX21" fmla="*/ 397894 w 2266608"/>
              <a:gd name="connsiteY21" fmla="*/ 97971 h 1723571"/>
              <a:gd name="connsiteX22" fmla="*/ 426922 w 2266608"/>
              <a:gd name="connsiteY22" fmla="*/ 195942 h 1723571"/>
              <a:gd name="connsiteX23" fmla="*/ 455951 w 2266608"/>
              <a:gd name="connsiteY23" fmla="*/ 181428 h 1723571"/>
              <a:gd name="connsiteX24" fmla="*/ 492237 w 2266608"/>
              <a:gd name="connsiteY24" fmla="*/ 199571 h 1723571"/>
              <a:gd name="connsiteX25" fmla="*/ 561824 w 2266608"/>
              <a:gd name="connsiteY25" fmla="*/ 353493 h 1723571"/>
              <a:gd name="connsiteX26" fmla="*/ 704186 w 2266608"/>
              <a:gd name="connsiteY26" fmla="*/ 337068 h 1723571"/>
              <a:gd name="connsiteX27" fmla="*/ 757122 w 2266608"/>
              <a:gd name="connsiteY27" fmla="*/ 359228 h 1723571"/>
              <a:gd name="connsiteX28" fmla="*/ 784229 w 2266608"/>
              <a:gd name="connsiteY28" fmla="*/ 324269 h 1723571"/>
              <a:gd name="connsiteX29" fmla="*/ 855094 w 2266608"/>
              <a:gd name="connsiteY29" fmla="*/ 315685 h 1723571"/>
              <a:gd name="connsiteX30" fmla="*/ 908449 w 2266608"/>
              <a:gd name="connsiteY30" fmla="*/ 264496 h 1723571"/>
              <a:gd name="connsiteX31" fmla="*/ 1003865 w 2266608"/>
              <a:gd name="connsiteY31" fmla="*/ 297542 h 1723571"/>
              <a:gd name="connsiteX32" fmla="*/ 1025637 w 2266608"/>
              <a:gd name="connsiteY32" fmla="*/ 319314 h 1723571"/>
              <a:gd name="connsiteX33" fmla="*/ 1058294 w 2266608"/>
              <a:gd name="connsiteY33" fmla="*/ 337457 h 1723571"/>
              <a:gd name="connsiteX34" fmla="*/ 1051037 w 2266608"/>
              <a:gd name="connsiteY34" fmla="*/ 373742 h 1723571"/>
              <a:gd name="connsiteX35" fmla="*/ 1101837 w 2266608"/>
              <a:gd name="connsiteY35" fmla="*/ 377371 h 1723571"/>
              <a:gd name="connsiteX36" fmla="*/ 1119979 w 2266608"/>
              <a:gd name="connsiteY36" fmla="*/ 424542 h 1723571"/>
              <a:gd name="connsiteX37" fmla="*/ 1119979 w 2266608"/>
              <a:gd name="connsiteY37" fmla="*/ 431800 h 1723571"/>
              <a:gd name="connsiteX38" fmla="*/ 1098208 w 2266608"/>
              <a:gd name="connsiteY38" fmla="*/ 468085 h 1723571"/>
              <a:gd name="connsiteX39" fmla="*/ 1112722 w 2266608"/>
              <a:gd name="connsiteY39" fmla="*/ 518885 h 1723571"/>
              <a:gd name="connsiteX40" fmla="*/ 1163522 w 2266608"/>
              <a:gd name="connsiteY40" fmla="*/ 540657 h 1723571"/>
              <a:gd name="connsiteX41" fmla="*/ 1250608 w 2266608"/>
              <a:gd name="connsiteY41" fmla="*/ 562428 h 1723571"/>
              <a:gd name="connsiteX42" fmla="*/ 1265122 w 2266608"/>
              <a:gd name="connsiteY42" fmla="*/ 566057 h 1723571"/>
              <a:gd name="connsiteX43" fmla="*/ 1272379 w 2266608"/>
              <a:gd name="connsiteY43" fmla="*/ 605971 h 1723571"/>
              <a:gd name="connsiteX44" fmla="*/ 1330008 w 2266608"/>
              <a:gd name="connsiteY44" fmla="*/ 578660 h 1723571"/>
              <a:gd name="connsiteX45" fmla="*/ 1342244 w 2266608"/>
              <a:gd name="connsiteY45" fmla="*/ 539147 h 1723571"/>
              <a:gd name="connsiteX46" fmla="*/ 1419438 w 2266608"/>
              <a:gd name="connsiteY46" fmla="*/ 511628 h 1723571"/>
              <a:gd name="connsiteX47" fmla="*/ 1464479 w 2266608"/>
              <a:gd name="connsiteY47" fmla="*/ 524037 h 1723571"/>
              <a:gd name="connsiteX48" fmla="*/ 1487744 w 2266608"/>
              <a:gd name="connsiteY48" fmla="*/ 500354 h 1723571"/>
              <a:gd name="connsiteX49" fmla="*/ 1484156 w 2266608"/>
              <a:gd name="connsiteY49" fmla="*/ 440654 h 1723571"/>
              <a:gd name="connsiteX50" fmla="*/ 1518915 w 2266608"/>
              <a:gd name="connsiteY50" fmla="*/ 371903 h 1723571"/>
              <a:gd name="connsiteX51" fmla="*/ 1549429 w 2266608"/>
              <a:gd name="connsiteY51" fmla="*/ 380416 h 1723571"/>
              <a:gd name="connsiteX52" fmla="*/ 1586286 w 2266608"/>
              <a:gd name="connsiteY52" fmla="*/ 312464 h 1723571"/>
              <a:gd name="connsiteX53" fmla="*/ 1692435 w 2266608"/>
              <a:gd name="connsiteY53" fmla="*/ 250177 h 1723571"/>
              <a:gd name="connsiteX54" fmla="*/ 1774401 w 2266608"/>
              <a:gd name="connsiteY54" fmla="*/ 302304 h 1723571"/>
              <a:gd name="connsiteX55" fmla="*/ 1833886 w 2266608"/>
              <a:gd name="connsiteY55" fmla="*/ 291547 h 1723571"/>
              <a:gd name="connsiteX56" fmla="*/ 1852951 w 2266608"/>
              <a:gd name="connsiteY56" fmla="*/ 293914 h 1723571"/>
              <a:gd name="connsiteX57" fmla="*/ 1921250 w 2266608"/>
              <a:gd name="connsiteY57" fmla="*/ 333633 h 1723571"/>
              <a:gd name="connsiteX58" fmla="*/ 1968851 w 2266608"/>
              <a:gd name="connsiteY58" fmla="*/ 308038 h 1723571"/>
              <a:gd name="connsiteX59" fmla="*/ 2057634 w 2266608"/>
              <a:gd name="connsiteY59" fmla="*/ 381744 h 1723571"/>
              <a:gd name="connsiteX60" fmla="*/ 2098835 w 2266608"/>
              <a:gd name="connsiteY60" fmla="*/ 380415 h 1723571"/>
              <a:gd name="connsiteX61" fmla="*/ 2190408 w 2266608"/>
              <a:gd name="connsiteY61" fmla="*/ 446314 h 1723571"/>
              <a:gd name="connsiteX62" fmla="*/ 2201294 w 2266608"/>
              <a:gd name="connsiteY62" fmla="*/ 558800 h 1723571"/>
              <a:gd name="connsiteX63" fmla="*/ 2237579 w 2266608"/>
              <a:gd name="connsiteY63" fmla="*/ 558800 h 1723571"/>
              <a:gd name="connsiteX64" fmla="*/ 2266608 w 2266608"/>
              <a:gd name="connsiteY64" fmla="*/ 613228 h 1723571"/>
              <a:gd name="connsiteX65" fmla="*/ 2208551 w 2266608"/>
              <a:gd name="connsiteY65" fmla="*/ 620485 h 1723571"/>
              <a:gd name="connsiteX66" fmla="*/ 2154122 w 2266608"/>
              <a:gd name="connsiteY66" fmla="*/ 678542 h 1723571"/>
              <a:gd name="connsiteX67" fmla="*/ 2143237 w 2266608"/>
              <a:gd name="connsiteY67" fmla="*/ 725714 h 1723571"/>
              <a:gd name="connsiteX68" fmla="*/ 2201294 w 2266608"/>
              <a:gd name="connsiteY68" fmla="*/ 751114 h 1723571"/>
              <a:gd name="connsiteX69" fmla="*/ 2165008 w 2266608"/>
              <a:gd name="connsiteY69" fmla="*/ 783771 h 1723571"/>
              <a:gd name="connsiteX70" fmla="*/ 2168637 w 2266608"/>
              <a:gd name="connsiteY70" fmla="*/ 823685 h 1723571"/>
              <a:gd name="connsiteX71" fmla="*/ 2016237 w 2266608"/>
              <a:gd name="connsiteY71" fmla="*/ 1019628 h 1723571"/>
              <a:gd name="connsiteX72" fmla="*/ 1914637 w 2266608"/>
              <a:gd name="connsiteY72" fmla="*/ 1081314 h 1723571"/>
              <a:gd name="connsiteX73" fmla="*/ 1925522 w 2266608"/>
              <a:gd name="connsiteY73" fmla="*/ 1197428 h 1723571"/>
              <a:gd name="connsiteX74" fmla="*/ 1780379 w 2266608"/>
              <a:gd name="connsiteY74" fmla="*/ 1338942 h 1723571"/>
              <a:gd name="connsiteX75" fmla="*/ 1733208 w 2266608"/>
              <a:gd name="connsiteY75" fmla="*/ 1491342 h 1723571"/>
              <a:gd name="connsiteX76" fmla="*/ 1682408 w 2266608"/>
              <a:gd name="connsiteY76" fmla="*/ 1571171 h 1723571"/>
              <a:gd name="connsiteX77" fmla="*/ 1598951 w 2266608"/>
              <a:gd name="connsiteY77" fmla="*/ 1618342 h 1723571"/>
              <a:gd name="connsiteX78" fmla="*/ 1566294 w 2266608"/>
              <a:gd name="connsiteY78" fmla="*/ 1618342 h 1723571"/>
              <a:gd name="connsiteX79" fmla="*/ 1559037 w 2266608"/>
              <a:gd name="connsiteY79" fmla="*/ 1578428 h 1723571"/>
              <a:gd name="connsiteX80" fmla="*/ 1519122 w 2266608"/>
              <a:gd name="connsiteY80" fmla="*/ 1563914 h 1723571"/>
              <a:gd name="connsiteX81" fmla="*/ 1457437 w 2266608"/>
              <a:gd name="connsiteY81" fmla="*/ 1618342 h 1723571"/>
              <a:gd name="connsiteX82" fmla="*/ 1424779 w 2266608"/>
              <a:gd name="connsiteY82" fmla="*/ 1618342 h 1723571"/>
              <a:gd name="connsiteX83" fmla="*/ 1428408 w 2266608"/>
              <a:gd name="connsiteY83" fmla="*/ 1582057 h 1723571"/>
              <a:gd name="connsiteX84" fmla="*/ 1388494 w 2266608"/>
              <a:gd name="connsiteY84" fmla="*/ 1582057 h 1723571"/>
              <a:gd name="connsiteX85" fmla="*/ 1334065 w 2266608"/>
              <a:gd name="connsiteY85" fmla="*/ 1480457 h 1723571"/>
              <a:gd name="connsiteX86" fmla="*/ 1268751 w 2266608"/>
              <a:gd name="connsiteY86" fmla="*/ 1444171 h 1723571"/>
              <a:gd name="connsiteX87" fmla="*/ 1203437 w 2266608"/>
              <a:gd name="connsiteY87" fmla="*/ 1455057 h 1723571"/>
              <a:gd name="connsiteX88" fmla="*/ 1134494 w 2266608"/>
              <a:gd name="connsiteY88" fmla="*/ 1440542 h 1723571"/>
              <a:gd name="connsiteX89" fmla="*/ 1054665 w 2266608"/>
              <a:gd name="connsiteY89" fmla="*/ 1701800 h 1723571"/>
              <a:gd name="connsiteX90" fmla="*/ 989351 w 2266608"/>
              <a:gd name="connsiteY90" fmla="*/ 1607457 h 1723571"/>
              <a:gd name="connsiteX91" fmla="*/ 963951 w 2266608"/>
              <a:gd name="connsiteY91" fmla="*/ 1629228 h 1723571"/>
              <a:gd name="connsiteX92" fmla="*/ 938551 w 2266608"/>
              <a:gd name="connsiteY92" fmla="*/ 1618342 h 1723571"/>
              <a:gd name="connsiteX93" fmla="*/ 905894 w 2266608"/>
              <a:gd name="connsiteY93" fmla="*/ 1636485 h 1723571"/>
              <a:gd name="connsiteX94" fmla="*/ 884122 w 2266608"/>
              <a:gd name="connsiteY94" fmla="*/ 1614714 h 1723571"/>
              <a:gd name="connsiteX95" fmla="*/ 847837 w 2266608"/>
              <a:gd name="connsiteY95" fmla="*/ 1640114 h 1723571"/>
              <a:gd name="connsiteX96" fmla="*/ 844208 w 2266608"/>
              <a:gd name="connsiteY96" fmla="*/ 1680028 h 1723571"/>
              <a:gd name="connsiteX97" fmla="*/ 771637 w 2266608"/>
              <a:gd name="connsiteY97" fmla="*/ 1723571 h 1723571"/>
              <a:gd name="connsiteX98" fmla="*/ 746237 w 2266608"/>
              <a:gd name="connsiteY98" fmla="*/ 1698171 h 1723571"/>
              <a:gd name="connsiteX99" fmla="*/ 655522 w 2266608"/>
              <a:gd name="connsiteY99" fmla="*/ 1719942 h 1723571"/>
              <a:gd name="connsiteX100" fmla="*/ 582951 w 2266608"/>
              <a:gd name="connsiteY100" fmla="*/ 1680028 h 1723571"/>
              <a:gd name="connsiteX101" fmla="*/ 582951 w 2266608"/>
              <a:gd name="connsiteY101" fmla="*/ 1632857 h 1723571"/>
              <a:gd name="connsiteX102" fmla="*/ 626494 w 2266608"/>
              <a:gd name="connsiteY102" fmla="*/ 1589314 h 1723571"/>
              <a:gd name="connsiteX103" fmla="*/ 630122 w 2266608"/>
              <a:gd name="connsiteY103" fmla="*/ 1498600 h 1723571"/>
              <a:gd name="connsiteX104" fmla="*/ 608351 w 2266608"/>
              <a:gd name="connsiteY104" fmla="*/ 1480457 h 1723571"/>
              <a:gd name="connsiteX105" fmla="*/ 514008 w 2266608"/>
              <a:gd name="connsiteY105" fmla="*/ 1440542 h 1723571"/>
              <a:gd name="connsiteX106" fmla="*/ 426922 w 2266608"/>
              <a:gd name="connsiteY106" fmla="*/ 1284514 h 1723571"/>
              <a:gd name="connsiteX107" fmla="*/ 423294 w 2266608"/>
              <a:gd name="connsiteY107" fmla="*/ 1277257 h 1723571"/>
              <a:gd name="connsiteX108" fmla="*/ 347094 w 2266608"/>
              <a:gd name="connsiteY108" fmla="*/ 1349828 h 1723571"/>
              <a:gd name="connsiteX109" fmla="*/ 289037 w 2266608"/>
              <a:gd name="connsiteY109" fmla="*/ 1302657 h 1723571"/>
              <a:gd name="connsiteX110" fmla="*/ 256379 w 2266608"/>
              <a:gd name="connsiteY110" fmla="*/ 1324428 h 1723571"/>
              <a:gd name="connsiteX111" fmla="*/ 187437 w 2266608"/>
              <a:gd name="connsiteY111" fmla="*/ 1320800 h 1723571"/>
              <a:gd name="connsiteX112" fmla="*/ 103979 w 2266608"/>
              <a:gd name="connsiteY112" fmla="*/ 1244600 h 1723571"/>
              <a:gd name="connsiteX0" fmla="*/ 103979 w 2266608"/>
              <a:gd name="connsiteY0" fmla="*/ 1244600 h 1723571"/>
              <a:gd name="connsiteX1" fmla="*/ 116708 w 2266608"/>
              <a:gd name="connsiteY1" fmla="*/ 1059542 h 1723571"/>
              <a:gd name="connsiteX2" fmla="*/ 79233 w 2266608"/>
              <a:gd name="connsiteY2" fmla="*/ 1030514 h 1723571"/>
              <a:gd name="connsiteX3" fmla="*/ 84051 w 2266608"/>
              <a:gd name="connsiteY3" fmla="*/ 979714 h 1723571"/>
              <a:gd name="connsiteX4" fmla="*/ 40508 w 2266608"/>
              <a:gd name="connsiteY4" fmla="*/ 872642 h 1723571"/>
              <a:gd name="connsiteX5" fmla="*/ 0 w 2266608"/>
              <a:gd name="connsiteY5" fmla="*/ 842423 h 1723571"/>
              <a:gd name="connsiteX6" fmla="*/ 22366 w 2266608"/>
              <a:gd name="connsiteY6" fmla="*/ 765628 h 1723571"/>
              <a:gd name="connsiteX7" fmla="*/ 3628 w 2266608"/>
              <a:gd name="connsiteY7" fmla="*/ 673666 h 1723571"/>
              <a:gd name="connsiteX8" fmla="*/ 64065 w 2266608"/>
              <a:gd name="connsiteY8" fmla="*/ 638628 h 1723571"/>
              <a:gd name="connsiteX9" fmla="*/ 38665 w 2266608"/>
              <a:gd name="connsiteY9" fmla="*/ 566057 h 1723571"/>
              <a:gd name="connsiteX10" fmla="*/ 2379 w 2266608"/>
              <a:gd name="connsiteY10" fmla="*/ 526142 h 1723571"/>
              <a:gd name="connsiteX11" fmla="*/ 85837 w 2266608"/>
              <a:gd name="connsiteY11" fmla="*/ 460828 h 1723571"/>
              <a:gd name="connsiteX12" fmla="*/ 85837 w 2266608"/>
              <a:gd name="connsiteY12" fmla="*/ 449942 h 1723571"/>
              <a:gd name="connsiteX13" fmla="*/ 71322 w 2266608"/>
              <a:gd name="connsiteY13" fmla="*/ 420914 h 1723571"/>
              <a:gd name="connsiteX14" fmla="*/ 136637 w 2266608"/>
              <a:gd name="connsiteY14" fmla="*/ 344714 h 1723571"/>
              <a:gd name="connsiteX15" fmla="*/ 136637 w 2266608"/>
              <a:gd name="connsiteY15" fmla="*/ 290285 h 1723571"/>
              <a:gd name="connsiteX16" fmla="*/ 45922 w 2266608"/>
              <a:gd name="connsiteY16" fmla="*/ 185057 h 1723571"/>
              <a:gd name="connsiteX17" fmla="*/ 93094 w 2266608"/>
              <a:gd name="connsiteY17" fmla="*/ 116114 h 1723571"/>
              <a:gd name="connsiteX18" fmla="*/ 89465 w 2266608"/>
              <a:gd name="connsiteY18" fmla="*/ 43542 h 1723571"/>
              <a:gd name="connsiteX19" fmla="*/ 278151 w 2266608"/>
              <a:gd name="connsiteY19" fmla="*/ 0 h 1723571"/>
              <a:gd name="connsiteX20" fmla="*/ 343465 w 2266608"/>
              <a:gd name="connsiteY20" fmla="*/ 29028 h 1723571"/>
              <a:gd name="connsiteX21" fmla="*/ 397894 w 2266608"/>
              <a:gd name="connsiteY21" fmla="*/ 97971 h 1723571"/>
              <a:gd name="connsiteX22" fmla="*/ 426922 w 2266608"/>
              <a:gd name="connsiteY22" fmla="*/ 195942 h 1723571"/>
              <a:gd name="connsiteX23" fmla="*/ 455951 w 2266608"/>
              <a:gd name="connsiteY23" fmla="*/ 181428 h 1723571"/>
              <a:gd name="connsiteX24" fmla="*/ 492237 w 2266608"/>
              <a:gd name="connsiteY24" fmla="*/ 199571 h 1723571"/>
              <a:gd name="connsiteX25" fmla="*/ 561824 w 2266608"/>
              <a:gd name="connsiteY25" fmla="*/ 353493 h 1723571"/>
              <a:gd name="connsiteX26" fmla="*/ 704186 w 2266608"/>
              <a:gd name="connsiteY26" fmla="*/ 337068 h 1723571"/>
              <a:gd name="connsiteX27" fmla="*/ 757122 w 2266608"/>
              <a:gd name="connsiteY27" fmla="*/ 359228 h 1723571"/>
              <a:gd name="connsiteX28" fmla="*/ 784229 w 2266608"/>
              <a:gd name="connsiteY28" fmla="*/ 324269 h 1723571"/>
              <a:gd name="connsiteX29" fmla="*/ 855094 w 2266608"/>
              <a:gd name="connsiteY29" fmla="*/ 315685 h 1723571"/>
              <a:gd name="connsiteX30" fmla="*/ 908449 w 2266608"/>
              <a:gd name="connsiteY30" fmla="*/ 264496 h 1723571"/>
              <a:gd name="connsiteX31" fmla="*/ 1003865 w 2266608"/>
              <a:gd name="connsiteY31" fmla="*/ 297542 h 1723571"/>
              <a:gd name="connsiteX32" fmla="*/ 1025637 w 2266608"/>
              <a:gd name="connsiteY32" fmla="*/ 319314 h 1723571"/>
              <a:gd name="connsiteX33" fmla="*/ 1058294 w 2266608"/>
              <a:gd name="connsiteY33" fmla="*/ 337457 h 1723571"/>
              <a:gd name="connsiteX34" fmla="*/ 1051037 w 2266608"/>
              <a:gd name="connsiteY34" fmla="*/ 373742 h 1723571"/>
              <a:gd name="connsiteX35" fmla="*/ 1101837 w 2266608"/>
              <a:gd name="connsiteY35" fmla="*/ 377371 h 1723571"/>
              <a:gd name="connsiteX36" fmla="*/ 1119979 w 2266608"/>
              <a:gd name="connsiteY36" fmla="*/ 424542 h 1723571"/>
              <a:gd name="connsiteX37" fmla="*/ 1119979 w 2266608"/>
              <a:gd name="connsiteY37" fmla="*/ 431800 h 1723571"/>
              <a:gd name="connsiteX38" fmla="*/ 1098208 w 2266608"/>
              <a:gd name="connsiteY38" fmla="*/ 468085 h 1723571"/>
              <a:gd name="connsiteX39" fmla="*/ 1112722 w 2266608"/>
              <a:gd name="connsiteY39" fmla="*/ 518885 h 1723571"/>
              <a:gd name="connsiteX40" fmla="*/ 1163522 w 2266608"/>
              <a:gd name="connsiteY40" fmla="*/ 540657 h 1723571"/>
              <a:gd name="connsiteX41" fmla="*/ 1250608 w 2266608"/>
              <a:gd name="connsiteY41" fmla="*/ 562428 h 1723571"/>
              <a:gd name="connsiteX42" fmla="*/ 1265122 w 2266608"/>
              <a:gd name="connsiteY42" fmla="*/ 566057 h 1723571"/>
              <a:gd name="connsiteX43" fmla="*/ 1272379 w 2266608"/>
              <a:gd name="connsiteY43" fmla="*/ 605971 h 1723571"/>
              <a:gd name="connsiteX44" fmla="*/ 1330008 w 2266608"/>
              <a:gd name="connsiteY44" fmla="*/ 578660 h 1723571"/>
              <a:gd name="connsiteX45" fmla="*/ 1342244 w 2266608"/>
              <a:gd name="connsiteY45" fmla="*/ 539147 h 1723571"/>
              <a:gd name="connsiteX46" fmla="*/ 1419438 w 2266608"/>
              <a:gd name="connsiteY46" fmla="*/ 511628 h 1723571"/>
              <a:gd name="connsiteX47" fmla="*/ 1464479 w 2266608"/>
              <a:gd name="connsiteY47" fmla="*/ 524037 h 1723571"/>
              <a:gd name="connsiteX48" fmla="*/ 1487744 w 2266608"/>
              <a:gd name="connsiteY48" fmla="*/ 500354 h 1723571"/>
              <a:gd name="connsiteX49" fmla="*/ 1484156 w 2266608"/>
              <a:gd name="connsiteY49" fmla="*/ 440654 h 1723571"/>
              <a:gd name="connsiteX50" fmla="*/ 1518915 w 2266608"/>
              <a:gd name="connsiteY50" fmla="*/ 371903 h 1723571"/>
              <a:gd name="connsiteX51" fmla="*/ 1549429 w 2266608"/>
              <a:gd name="connsiteY51" fmla="*/ 380416 h 1723571"/>
              <a:gd name="connsiteX52" fmla="*/ 1586286 w 2266608"/>
              <a:gd name="connsiteY52" fmla="*/ 312464 h 1723571"/>
              <a:gd name="connsiteX53" fmla="*/ 1692435 w 2266608"/>
              <a:gd name="connsiteY53" fmla="*/ 250177 h 1723571"/>
              <a:gd name="connsiteX54" fmla="*/ 1774401 w 2266608"/>
              <a:gd name="connsiteY54" fmla="*/ 302304 h 1723571"/>
              <a:gd name="connsiteX55" fmla="*/ 1833886 w 2266608"/>
              <a:gd name="connsiteY55" fmla="*/ 291547 h 1723571"/>
              <a:gd name="connsiteX56" fmla="*/ 1852951 w 2266608"/>
              <a:gd name="connsiteY56" fmla="*/ 293914 h 1723571"/>
              <a:gd name="connsiteX57" fmla="*/ 1921250 w 2266608"/>
              <a:gd name="connsiteY57" fmla="*/ 333633 h 1723571"/>
              <a:gd name="connsiteX58" fmla="*/ 1968851 w 2266608"/>
              <a:gd name="connsiteY58" fmla="*/ 308038 h 1723571"/>
              <a:gd name="connsiteX59" fmla="*/ 2057634 w 2266608"/>
              <a:gd name="connsiteY59" fmla="*/ 381744 h 1723571"/>
              <a:gd name="connsiteX60" fmla="*/ 2098835 w 2266608"/>
              <a:gd name="connsiteY60" fmla="*/ 380415 h 1723571"/>
              <a:gd name="connsiteX61" fmla="*/ 2190408 w 2266608"/>
              <a:gd name="connsiteY61" fmla="*/ 446314 h 1723571"/>
              <a:gd name="connsiteX62" fmla="*/ 2201294 w 2266608"/>
              <a:gd name="connsiteY62" fmla="*/ 558800 h 1723571"/>
              <a:gd name="connsiteX63" fmla="*/ 2237579 w 2266608"/>
              <a:gd name="connsiteY63" fmla="*/ 558800 h 1723571"/>
              <a:gd name="connsiteX64" fmla="*/ 2266608 w 2266608"/>
              <a:gd name="connsiteY64" fmla="*/ 613228 h 1723571"/>
              <a:gd name="connsiteX65" fmla="*/ 2208551 w 2266608"/>
              <a:gd name="connsiteY65" fmla="*/ 620485 h 1723571"/>
              <a:gd name="connsiteX66" fmla="*/ 2154122 w 2266608"/>
              <a:gd name="connsiteY66" fmla="*/ 678542 h 1723571"/>
              <a:gd name="connsiteX67" fmla="*/ 2143237 w 2266608"/>
              <a:gd name="connsiteY67" fmla="*/ 725714 h 1723571"/>
              <a:gd name="connsiteX68" fmla="*/ 2201294 w 2266608"/>
              <a:gd name="connsiteY68" fmla="*/ 751114 h 1723571"/>
              <a:gd name="connsiteX69" fmla="*/ 2165008 w 2266608"/>
              <a:gd name="connsiteY69" fmla="*/ 783771 h 1723571"/>
              <a:gd name="connsiteX70" fmla="*/ 2168637 w 2266608"/>
              <a:gd name="connsiteY70" fmla="*/ 823685 h 1723571"/>
              <a:gd name="connsiteX71" fmla="*/ 2016237 w 2266608"/>
              <a:gd name="connsiteY71" fmla="*/ 1019628 h 1723571"/>
              <a:gd name="connsiteX72" fmla="*/ 1914637 w 2266608"/>
              <a:gd name="connsiteY72" fmla="*/ 1081314 h 1723571"/>
              <a:gd name="connsiteX73" fmla="*/ 1925522 w 2266608"/>
              <a:gd name="connsiteY73" fmla="*/ 1197428 h 1723571"/>
              <a:gd name="connsiteX74" fmla="*/ 1780379 w 2266608"/>
              <a:gd name="connsiteY74" fmla="*/ 1338942 h 1723571"/>
              <a:gd name="connsiteX75" fmla="*/ 1733208 w 2266608"/>
              <a:gd name="connsiteY75" fmla="*/ 1491342 h 1723571"/>
              <a:gd name="connsiteX76" fmla="*/ 1682408 w 2266608"/>
              <a:gd name="connsiteY76" fmla="*/ 1571171 h 1723571"/>
              <a:gd name="connsiteX77" fmla="*/ 1598951 w 2266608"/>
              <a:gd name="connsiteY77" fmla="*/ 1618342 h 1723571"/>
              <a:gd name="connsiteX78" fmla="*/ 1566294 w 2266608"/>
              <a:gd name="connsiteY78" fmla="*/ 1618342 h 1723571"/>
              <a:gd name="connsiteX79" fmla="*/ 1559037 w 2266608"/>
              <a:gd name="connsiteY79" fmla="*/ 1578428 h 1723571"/>
              <a:gd name="connsiteX80" fmla="*/ 1519122 w 2266608"/>
              <a:gd name="connsiteY80" fmla="*/ 1563914 h 1723571"/>
              <a:gd name="connsiteX81" fmla="*/ 1457437 w 2266608"/>
              <a:gd name="connsiteY81" fmla="*/ 1618342 h 1723571"/>
              <a:gd name="connsiteX82" fmla="*/ 1424779 w 2266608"/>
              <a:gd name="connsiteY82" fmla="*/ 1618342 h 1723571"/>
              <a:gd name="connsiteX83" fmla="*/ 1428408 w 2266608"/>
              <a:gd name="connsiteY83" fmla="*/ 1582057 h 1723571"/>
              <a:gd name="connsiteX84" fmla="*/ 1388494 w 2266608"/>
              <a:gd name="connsiteY84" fmla="*/ 1582057 h 1723571"/>
              <a:gd name="connsiteX85" fmla="*/ 1334065 w 2266608"/>
              <a:gd name="connsiteY85" fmla="*/ 1480457 h 1723571"/>
              <a:gd name="connsiteX86" fmla="*/ 1268751 w 2266608"/>
              <a:gd name="connsiteY86" fmla="*/ 1444171 h 1723571"/>
              <a:gd name="connsiteX87" fmla="*/ 1203437 w 2266608"/>
              <a:gd name="connsiteY87" fmla="*/ 1455057 h 1723571"/>
              <a:gd name="connsiteX88" fmla="*/ 1134494 w 2266608"/>
              <a:gd name="connsiteY88" fmla="*/ 1440542 h 1723571"/>
              <a:gd name="connsiteX89" fmla="*/ 1054665 w 2266608"/>
              <a:gd name="connsiteY89" fmla="*/ 1701800 h 1723571"/>
              <a:gd name="connsiteX90" fmla="*/ 989351 w 2266608"/>
              <a:gd name="connsiteY90" fmla="*/ 1607457 h 1723571"/>
              <a:gd name="connsiteX91" fmla="*/ 963951 w 2266608"/>
              <a:gd name="connsiteY91" fmla="*/ 1629228 h 1723571"/>
              <a:gd name="connsiteX92" fmla="*/ 938551 w 2266608"/>
              <a:gd name="connsiteY92" fmla="*/ 1618342 h 1723571"/>
              <a:gd name="connsiteX93" fmla="*/ 905894 w 2266608"/>
              <a:gd name="connsiteY93" fmla="*/ 1636485 h 1723571"/>
              <a:gd name="connsiteX94" fmla="*/ 884122 w 2266608"/>
              <a:gd name="connsiteY94" fmla="*/ 1614714 h 1723571"/>
              <a:gd name="connsiteX95" fmla="*/ 847837 w 2266608"/>
              <a:gd name="connsiteY95" fmla="*/ 1640114 h 1723571"/>
              <a:gd name="connsiteX96" fmla="*/ 844208 w 2266608"/>
              <a:gd name="connsiteY96" fmla="*/ 1680028 h 1723571"/>
              <a:gd name="connsiteX97" fmla="*/ 771637 w 2266608"/>
              <a:gd name="connsiteY97" fmla="*/ 1723571 h 1723571"/>
              <a:gd name="connsiteX98" fmla="*/ 746237 w 2266608"/>
              <a:gd name="connsiteY98" fmla="*/ 1698171 h 1723571"/>
              <a:gd name="connsiteX99" fmla="*/ 655522 w 2266608"/>
              <a:gd name="connsiteY99" fmla="*/ 1719942 h 1723571"/>
              <a:gd name="connsiteX100" fmla="*/ 582951 w 2266608"/>
              <a:gd name="connsiteY100" fmla="*/ 1680028 h 1723571"/>
              <a:gd name="connsiteX101" fmla="*/ 582951 w 2266608"/>
              <a:gd name="connsiteY101" fmla="*/ 1632857 h 1723571"/>
              <a:gd name="connsiteX102" fmla="*/ 626494 w 2266608"/>
              <a:gd name="connsiteY102" fmla="*/ 1589314 h 1723571"/>
              <a:gd name="connsiteX103" fmla="*/ 630122 w 2266608"/>
              <a:gd name="connsiteY103" fmla="*/ 1498600 h 1723571"/>
              <a:gd name="connsiteX104" fmla="*/ 608351 w 2266608"/>
              <a:gd name="connsiteY104" fmla="*/ 1480457 h 1723571"/>
              <a:gd name="connsiteX105" fmla="*/ 514008 w 2266608"/>
              <a:gd name="connsiteY105" fmla="*/ 1440542 h 1723571"/>
              <a:gd name="connsiteX106" fmla="*/ 426922 w 2266608"/>
              <a:gd name="connsiteY106" fmla="*/ 1284514 h 1723571"/>
              <a:gd name="connsiteX107" fmla="*/ 423294 w 2266608"/>
              <a:gd name="connsiteY107" fmla="*/ 1277257 h 1723571"/>
              <a:gd name="connsiteX108" fmla="*/ 347094 w 2266608"/>
              <a:gd name="connsiteY108" fmla="*/ 1349828 h 1723571"/>
              <a:gd name="connsiteX109" fmla="*/ 289037 w 2266608"/>
              <a:gd name="connsiteY109" fmla="*/ 1302657 h 1723571"/>
              <a:gd name="connsiteX110" fmla="*/ 256379 w 2266608"/>
              <a:gd name="connsiteY110" fmla="*/ 1324428 h 1723571"/>
              <a:gd name="connsiteX111" fmla="*/ 187437 w 2266608"/>
              <a:gd name="connsiteY111" fmla="*/ 1320800 h 1723571"/>
              <a:gd name="connsiteX112" fmla="*/ 103979 w 2266608"/>
              <a:gd name="connsiteY112" fmla="*/ 1244600 h 1723571"/>
              <a:gd name="connsiteX0" fmla="*/ 103979 w 2266608"/>
              <a:gd name="connsiteY0" fmla="*/ 1244600 h 1723571"/>
              <a:gd name="connsiteX1" fmla="*/ 116708 w 2266608"/>
              <a:gd name="connsiteY1" fmla="*/ 1059542 h 1723571"/>
              <a:gd name="connsiteX2" fmla="*/ 79233 w 2266608"/>
              <a:gd name="connsiteY2" fmla="*/ 1030514 h 1723571"/>
              <a:gd name="connsiteX3" fmla="*/ 84051 w 2266608"/>
              <a:gd name="connsiteY3" fmla="*/ 979714 h 1723571"/>
              <a:gd name="connsiteX4" fmla="*/ 40508 w 2266608"/>
              <a:gd name="connsiteY4" fmla="*/ 872642 h 1723571"/>
              <a:gd name="connsiteX5" fmla="*/ 0 w 2266608"/>
              <a:gd name="connsiteY5" fmla="*/ 842423 h 1723571"/>
              <a:gd name="connsiteX6" fmla="*/ 22366 w 2266608"/>
              <a:gd name="connsiteY6" fmla="*/ 765628 h 1723571"/>
              <a:gd name="connsiteX7" fmla="*/ 3628 w 2266608"/>
              <a:gd name="connsiteY7" fmla="*/ 673666 h 1723571"/>
              <a:gd name="connsiteX8" fmla="*/ 55618 w 2266608"/>
              <a:gd name="connsiteY8" fmla="*/ 630182 h 1723571"/>
              <a:gd name="connsiteX9" fmla="*/ 38665 w 2266608"/>
              <a:gd name="connsiteY9" fmla="*/ 566057 h 1723571"/>
              <a:gd name="connsiteX10" fmla="*/ 2379 w 2266608"/>
              <a:gd name="connsiteY10" fmla="*/ 526142 h 1723571"/>
              <a:gd name="connsiteX11" fmla="*/ 85837 w 2266608"/>
              <a:gd name="connsiteY11" fmla="*/ 460828 h 1723571"/>
              <a:gd name="connsiteX12" fmla="*/ 85837 w 2266608"/>
              <a:gd name="connsiteY12" fmla="*/ 449942 h 1723571"/>
              <a:gd name="connsiteX13" fmla="*/ 71322 w 2266608"/>
              <a:gd name="connsiteY13" fmla="*/ 420914 h 1723571"/>
              <a:gd name="connsiteX14" fmla="*/ 136637 w 2266608"/>
              <a:gd name="connsiteY14" fmla="*/ 344714 h 1723571"/>
              <a:gd name="connsiteX15" fmla="*/ 136637 w 2266608"/>
              <a:gd name="connsiteY15" fmla="*/ 290285 h 1723571"/>
              <a:gd name="connsiteX16" fmla="*/ 45922 w 2266608"/>
              <a:gd name="connsiteY16" fmla="*/ 185057 h 1723571"/>
              <a:gd name="connsiteX17" fmla="*/ 93094 w 2266608"/>
              <a:gd name="connsiteY17" fmla="*/ 116114 h 1723571"/>
              <a:gd name="connsiteX18" fmla="*/ 89465 w 2266608"/>
              <a:gd name="connsiteY18" fmla="*/ 43542 h 1723571"/>
              <a:gd name="connsiteX19" fmla="*/ 278151 w 2266608"/>
              <a:gd name="connsiteY19" fmla="*/ 0 h 1723571"/>
              <a:gd name="connsiteX20" fmla="*/ 343465 w 2266608"/>
              <a:gd name="connsiteY20" fmla="*/ 29028 h 1723571"/>
              <a:gd name="connsiteX21" fmla="*/ 397894 w 2266608"/>
              <a:gd name="connsiteY21" fmla="*/ 97971 h 1723571"/>
              <a:gd name="connsiteX22" fmla="*/ 426922 w 2266608"/>
              <a:gd name="connsiteY22" fmla="*/ 195942 h 1723571"/>
              <a:gd name="connsiteX23" fmla="*/ 455951 w 2266608"/>
              <a:gd name="connsiteY23" fmla="*/ 181428 h 1723571"/>
              <a:gd name="connsiteX24" fmla="*/ 492237 w 2266608"/>
              <a:gd name="connsiteY24" fmla="*/ 199571 h 1723571"/>
              <a:gd name="connsiteX25" fmla="*/ 561824 w 2266608"/>
              <a:gd name="connsiteY25" fmla="*/ 353493 h 1723571"/>
              <a:gd name="connsiteX26" fmla="*/ 704186 w 2266608"/>
              <a:gd name="connsiteY26" fmla="*/ 337068 h 1723571"/>
              <a:gd name="connsiteX27" fmla="*/ 757122 w 2266608"/>
              <a:gd name="connsiteY27" fmla="*/ 359228 h 1723571"/>
              <a:gd name="connsiteX28" fmla="*/ 784229 w 2266608"/>
              <a:gd name="connsiteY28" fmla="*/ 324269 h 1723571"/>
              <a:gd name="connsiteX29" fmla="*/ 855094 w 2266608"/>
              <a:gd name="connsiteY29" fmla="*/ 315685 h 1723571"/>
              <a:gd name="connsiteX30" fmla="*/ 908449 w 2266608"/>
              <a:gd name="connsiteY30" fmla="*/ 264496 h 1723571"/>
              <a:gd name="connsiteX31" fmla="*/ 1003865 w 2266608"/>
              <a:gd name="connsiteY31" fmla="*/ 297542 h 1723571"/>
              <a:gd name="connsiteX32" fmla="*/ 1025637 w 2266608"/>
              <a:gd name="connsiteY32" fmla="*/ 319314 h 1723571"/>
              <a:gd name="connsiteX33" fmla="*/ 1058294 w 2266608"/>
              <a:gd name="connsiteY33" fmla="*/ 337457 h 1723571"/>
              <a:gd name="connsiteX34" fmla="*/ 1051037 w 2266608"/>
              <a:gd name="connsiteY34" fmla="*/ 373742 h 1723571"/>
              <a:gd name="connsiteX35" fmla="*/ 1101837 w 2266608"/>
              <a:gd name="connsiteY35" fmla="*/ 377371 h 1723571"/>
              <a:gd name="connsiteX36" fmla="*/ 1119979 w 2266608"/>
              <a:gd name="connsiteY36" fmla="*/ 424542 h 1723571"/>
              <a:gd name="connsiteX37" fmla="*/ 1119979 w 2266608"/>
              <a:gd name="connsiteY37" fmla="*/ 431800 h 1723571"/>
              <a:gd name="connsiteX38" fmla="*/ 1098208 w 2266608"/>
              <a:gd name="connsiteY38" fmla="*/ 468085 h 1723571"/>
              <a:gd name="connsiteX39" fmla="*/ 1112722 w 2266608"/>
              <a:gd name="connsiteY39" fmla="*/ 518885 h 1723571"/>
              <a:gd name="connsiteX40" fmla="*/ 1163522 w 2266608"/>
              <a:gd name="connsiteY40" fmla="*/ 540657 h 1723571"/>
              <a:gd name="connsiteX41" fmla="*/ 1250608 w 2266608"/>
              <a:gd name="connsiteY41" fmla="*/ 562428 h 1723571"/>
              <a:gd name="connsiteX42" fmla="*/ 1265122 w 2266608"/>
              <a:gd name="connsiteY42" fmla="*/ 566057 h 1723571"/>
              <a:gd name="connsiteX43" fmla="*/ 1272379 w 2266608"/>
              <a:gd name="connsiteY43" fmla="*/ 605971 h 1723571"/>
              <a:gd name="connsiteX44" fmla="*/ 1330008 w 2266608"/>
              <a:gd name="connsiteY44" fmla="*/ 578660 h 1723571"/>
              <a:gd name="connsiteX45" fmla="*/ 1342244 w 2266608"/>
              <a:gd name="connsiteY45" fmla="*/ 539147 h 1723571"/>
              <a:gd name="connsiteX46" fmla="*/ 1419438 w 2266608"/>
              <a:gd name="connsiteY46" fmla="*/ 511628 h 1723571"/>
              <a:gd name="connsiteX47" fmla="*/ 1464479 w 2266608"/>
              <a:gd name="connsiteY47" fmla="*/ 524037 h 1723571"/>
              <a:gd name="connsiteX48" fmla="*/ 1487744 w 2266608"/>
              <a:gd name="connsiteY48" fmla="*/ 500354 h 1723571"/>
              <a:gd name="connsiteX49" fmla="*/ 1484156 w 2266608"/>
              <a:gd name="connsiteY49" fmla="*/ 440654 h 1723571"/>
              <a:gd name="connsiteX50" fmla="*/ 1518915 w 2266608"/>
              <a:gd name="connsiteY50" fmla="*/ 371903 h 1723571"/>
              <a:gd name="connsiteX51" fmla="*/ 1549429 w 2266608"/>
              <a:gd name="connsiteY51" fmla="*/ 380416 h 1723571"/>
              <a:gd name="connsiteX52" fmla="*/ 1586286 w 2266608"/>
              <a:gd name="connsiteY52" fmla="*/ 312464 h 1723571"/>
              <a:gd name="connsiteX53" fmla="*/ 1692435 w 2266608"/>
              <a:gd name="connsiteY53" fmla="*/ 250177 h 1723571"/>
              <a:gd name="connsiteX54" fmla="*/ 1774401 w 2266608"/>
              <a:gd name="connsiteY54" fmla="*/ 302304 h 1723571"/>
              <a:gd name="connsiteX55" fmla="*/ 1833886 w 2266608"/>
              <a:gd name="connsiteY55" fmla="*/ 291547 h 1723571"/>
              <a:gd name="connsiteX56" fmla="*/ 1852951 w 2266608"/>
              <a:gd name="connsiteY56" fmla="*/ 293914 h 1723571"/>
              <a:gd name="connsiteX57" fmla="*/ 1921250 w 2266608"/>
              <a:gd name="connsiteY57" fmla="*/ 333633 h 1723571"/>
              <a:gd name="connsiteX58" fmla="*/ 1968851 w 2266608"/>
              <a:gd name="connsiteY58" fmla="*/ 308038 h 1723571"/>
              <a:gd name="connsiteX59" fmla="*/ 2057634 w 2266608"/>
              <a:gd name="connsiteY59" fmla="*/ 381744 h 1723571"/>
              <a:gd name="connsiteX60" fmla="*/ 2098835 w 2266608"/>
              <a:gd name="connsiteY60" fmla="*/ 380415 h 1723571"/>
              <a:gd name="connsiteX61" fmla="*/ 2190408 w 2266608"/>
              <a:gd name="connsiteY61" fmla="*/ 446314 h 1723571"/>
              <a:gd name="connsiteX62" fmla="*/ 2201294 w 2266608"/>
              <a:gd name="connsiteY62" fmla="*/ 558800 h 1723571"/>
              <a:gd name="connsiteX63" fmla="*/ 2237579 w 2266608"/>
              <a:gd name="connsiteY63" fmla="*/ 558800 h 1723571"/>
              <a:gd name="connsiteX64" fmla="*/ 2266608 w 2266608"/>
              <a:gd name="connsiteY64" fmla="*/ 613228 h 1723571"/>
              <a:gd name="connsiteX65" fmla="*/ 2208551 w 2266608"/>
              <a:gd name="connsiteY65" fmla="*/ 620485 h 1723571"/>
              <a:gd name="connsiteX66" fmla="*/ 2154122 w 2266608"/>
              <a:gd name="connsiteY66" fmla="*/ 678542 h 1723571"/>
              <a:gd name="connsiteX67" fmla="*/ 2143237 w 2266608"/>
              <a:gd name="connsiteY67" fmla="*/ 725714 h 1723571"/>
              <a:gd name="connsiteX68" fmla="*/ 2201294 w 2266608"/>
              <a:gd name="connsiteY68" fmla="*/ 751114 h 1723571"/>
              <a:gd name="connsiteX69" fmla="*/ 2165008 w 2266608"/>
              <a:gd name="connsiteY69" fmla="*/ 783771 h 1723571"/>
              <a:gd name="connsiteX70" fmla="*/ 2168637 w 2266608"/>
              <a:gd name="connsiteY70" fmla="*/ 823685 h 1723571"/>
              <a:gd name="connsiteX71" fmla="*/ 2016237 w 2266608"/>
              <a:gd name="connsiteY71" fmla="*/ 1019628 h 1723571"/>
              <a:gd name="connsiteX72" fmla="*/ 1914637 w 2266608"/>
              <a:gd name="connsiteY72" fmla="*/ 1081314 h 1723571"/>
              <a:gd name="connsiteX73" fmla="*/ 1925522 w 2266608"/>
              <a:gd name="connsiteY73" fmla="*/ 1197428 h 1723571"/>
              <a:gd name="connsiteX74" fmla="*/ 1780379 w 2266608"/>
              <a:gd name="connsiteY74" fmla="*/ 1338942 h 1723571"/>
              <a:gd name="connsiteX75" fmla="*/ 1733208 w 2266608"/>
              <a:gd name="connsiteY75" fmla="*/ 1491342 h 1723571"/>
              <a:gd name="connsiteX76" fmla="*/ 1682408 w 2266608"/>
              <a:gd name="connsiteY76" fmla="*/ 1571171 h 1723571"/>
              <a:gd name="connsiteX77" fmla="*/ 1598951 w 2266608"/>
              <a:gd name="connsiteY77" fmla="*/ 1618342 h 1723571"/>
              <a:gd name="connsiteX78" fmla="*/ 1566294 w 2266608"/>
              <a:gd name="connsiteY78" fmla="*/ 1618342 h 1723571"/>
              <a:gd name="connsiteX79" fmla="*/ 1559037 w 2266608"/>
              <a:gd name="connsiteY79" fmla="*/ 1578428 h 1723571"/>
              <a:gd name="connsiteX80" fmla="*/ 1519122 w 2266608"/>
              <a:gd name="connsiteY80" fmla="*/ 1563914 h 1723571"/>
              <a:gd name="connsiteX81" fmla="*/ 1457437 w 2266608"/>
              <a:gd name="connsiteY81" fmla="*/ 1618342 h 1723571"/>
              <a:gd name="connsiteX82" fmla="*/ 1424779 w 2266608"/>
              <a:gd name="connsiteY82" fmla="*/ 1618342 h 1723571"/>
              <a:gd name="connsiteX83" fmla="*/ 1428408 w 2266608"/>
              <a:gd name="connsiteY83" fmla="*/ 1582057 h 1723571"/>
              <a:gd name="connsiteX84" fmla="*/ 1388494 w 2266608"/>
              <a:gd name="connsiteY84" fmla="*/ 1582057 h 1723571"/>
              <a:gd name="connsiteX85" fmla="*/ 1334065 w 2266608"/>
              <a:gd name="connsiteY85" fmla="*/ 1480457 h 1723571"/>
              <a:gd name="connsiteX86" fmla="*/ 1268751 w 2266608"/>
              <a:gd name="connsiteY86" fmla="*/ 1444171 h 1723571"/>
              <a:gd name="connsiteX87" fmla="*/ 1203437 w 2266608"/>
              <a:gd name="connsiteY87" fmla="*/ 1455057 h 1723571"/>
              <a:gd name="connsiteX88" fmla="*/ 1134494 w 2266608"/>
              <a:gd name="connsiteY88" fmla="*/ 1440542 h 1723571"/>
              <a:gd name="connsiteX89" fmla="*/ 1054665 w 2266608"/>
              <a:gd name="connsiteY89" fmla="*/ 1701800 h 1723571"/>
              <a:gd name="connsiteX90" fmla="*/ 989351 w 2266608"/>
              <a:gd name="connsiteY90" fmla="*/ 1607457 h 1723571"/>
              <a:gd name="connsiteX91" fmla="*/ 963951 w 2266608"/>
              <a:gd name="connsiteY91" fmla="*/ 1629228 h 1723571"/>
              <a:gd name="connsiteX92" fmla="*/ 938551 w 2266608"/>
              <a:gd name="connsiteY92" fmla="*/ 1618342 h 1723571"/>
              <a:gd name="connsiteX93" fmla="*/ 905894 w 2266608"/>
              <a:gd name="connsiteY93" fmla="*/ 1636485 h 1723571"/>
              <a:gd name="connsiteX94" fmla="*/ 884122 w 2266608"/>
              <a:gd name="connsiteY94" fmla="*/ 1614714 h 1723571"/>
              <a:gd name="connsiteX95" fmla="*/ 847837 w 2266608"/>
              <a:gd name="connsiteY95" fmla="*/ 1640114 h 1723571"/>
              <a:gd name="connsiteX96" fmla="*/ 844208 w 2266608"/>
              <a:gd name="connsiteY96" fmla="*/ 1680028 h 1723571"/>
              <a:gd name="connsiteX97" fmla="*/ 771637 w 2266608"/>
              <a:gd name="connsiteY97" fmla="*/ 1723571 h 1723571"/>
              <a:gd name="connsiteX98" fmla="*/ 746237 w 2266608"/>
              <a:gd name="connsiteY98" fmla="*/ 1698171 h 1723571"/>
              <a:gd name="connsiteX99" fmla="*/ 655522 w 2266608"/>
              <a:gd name="connsiteY99" fmla="*/ 1719942 h 1723571"/>
              <a:gd name="connsiteX100" fmla="*/ 582951 w 2266608"/>
              <a:gd name="connsiteY100" fmla="*/ 1680028 h 1723571"/>
              <a:gd name="connsiteX101" fmla="*/ 582951 w 2266608"/>
              <a:gd name="connsiteY101" fmla="*/ 1632857 h 1723571"/>
              <a:gd name="connsiteX102" fmla="*/ 626494 w 2266608"/>
              <a:gd name="connsiteY102" fmla="*/ 1589314 h 1723571"/>
              <a:gd name="connsiteX103" fmla="*/ 630122 w 2266608"/>
              <a:gd name="connsiteY103" fmla="*/ 1498600 h 1723571"/>
              <a:gd name="connsiteX104" fmla="*/ 608351 w 2266608"/>
              <a:gd name="connsiteY104" fmla="*/ 1480457 h 1723571"/>
              <a:gd name="connsiteX105" fmla="*/ 514008 w 2266608"/>
              <a:gd name="connsiteY105" fmla="*/ 1440542 h 1723571"/>
              <a:gd name="connsiteX106" fmla="*/ 426922 w 2266608"/>
              <a:gd name="connsiteY106" fmla="*/ 1284514 h 1723571"/>
              <a:gd name="connsiteX107" fmla="*/ 423294 w 2266608"/>
              <a:gd name="connsiteY107" fmla="*/ 1277257 h 1723571"/>
              <a:gd name="connsiteX108" fmla="*/ 347094 w 2266608"/>
              <a:gd name="connsiteY108" fmla="*/ 1349828 h 1723571"/>
              <a:gd name="connsiteX109" fmla="*/ 289037 w 2266608"/>
              <a:gd name="connsiteY109" fmla="*/ 1302657 h 1723571"/>
              <a:gd name="connsiteX110" fmla="*/ 256379 w 2266608"/>
              <a:gd name="connsiteY110" fmla="*/ 1324428 h 1723571"/>
              <a:gd name="connsiteX111" fmla="*/ 187437 w 2266608"/>
              <a:gd name="connsiteY111" fmla="*/ 1320800 h 1723571"/>
              <a:gd name="connsiteX112" fmla="*/ 103979 w 2266608"/>
              <a:gd name="connsiteY112" fmla="*/ 1244600 h 1723571"/>
              <a:gd name="connsiteX0" fmla="*/ 103979 w 2266608"/>
              <a:gd name="connsiteY0" fmla="*/ 1244600 h 1723571"/>
              <a:gd name="connsiteX1" fmla="*/ 116708 w 2266608"/>
              <a:gd name="connsiteY1" fmla="*/ 1059542 h 1723571"/>
              <a:gd name="connsiteX2" fmla="*/ 79233 w 2266608"/>
              <a:gd name="connsiteY2" fmla="*/ 1030514 h 1723571"/>
              <a:gd name="connsiteX3" fmla="*/ 84051 w 2266608"/>
              <a:gd name="connsiteY3" fmla="*/ 979714 h 1723571"/>
              <a:gd name="connsiteX4" fmla="*/ 40508 w 2266608"/>
              <a:gd name="connsiteY4" fmla="*/ 872642 h 1723571"/>
              <a:gd name="connsiteX5" fmla="*/ 0 w 2266608"/>
              <a:gd name="connsiteY5" fmla="*/ 842423 h 1723571"/>
              <a:gd name="connsiteX6" fmla="*/ 22366 w 2266608"/>
              <a:gd name="connsiteY6" fmla="*/ 765628 h 1723571"/>
              <a:gd name="connsiteX7" fmla="*/ 3628 w 2266608"/>
              <a:gd name="connsiteY7" fmla="*/ 673666 h 1723571"/>
              <a:gd name="connsiteX8" fmla="*/ 55618 w 2266608"/>
              <a:gd name="connsiteY8" fmla="*/ 630182 h 1723571"/>
              <a:gd name="connsiteX9" fmla="*/ 2379 w 2266608"/>
              <a:gd name="connsiteY9" fmla="*/ 526142 h 1723571"/>
              <a:gd name="connsiteX10" fmla="*/ 85837 w 2266608"/>
              <a:gd name="connsiteY10" fmla="*/ 460828 h 1723571"/>
              <a:gd name="connsiteX11" fmla="*/ 85837 w 2266608"/>
              <a:gd name="connsiteY11" fmla="*/ 449942 h 1723571"/>
              <a:gd name="connsiteX12" fmla="*/ 71322 w 2266608"/>
              <a:gd name="connsiteY12" fmla="*/ 420914 h 1723571"/>
              <a:gd name="connsiteX13" fmla="*/ 136637 w 2266608"/>
              <a:gd name="connsiteY13" fmla="*/ 344714 h 1723571"/>
              <a:gd name="connsiteX14" fmla="*/ 136637 w 2266608"/>
              <a:gd name="connsiteY14" fmla="*/ 290285 h 1723571"/>
              <a:gd name="connsiteX15" fmla="*/ 45922 w 2266608"/>
              <a:gd name="connsiteY15" fmla="*/ 185057 h 1723571"/>
              <a:gd name="connsiteX16" fmla="*/ 93094 w 2266608"/>
              <a:gd name="connsiteY16" fmla="*/ 116114 h 1723571"/>
              <a:gd name="connsiteX17" fmla="*/ 89465 w 2266608"/>
              <a:gd name="connsiteY17" fmla="*/ 43542 h 1723571"/>
              <a:gd name="connsiteX18" fmla="*/ 278151 w 2266608"/>
              <a:gd name="connsiteY18" fmla="*/ 0 h 1723571"/>
              <a:gd name="connsiteX19" fmla="*/ 343465 w 2266608"/>
              <a:gd name="connsiteY19" fmla="*/ 29028 h 1723571"/>
              <a:gd name="connsiteX20" fmla="*/ 397894 w 2266608"/>
              <a:gd name="connsiteY20" fmla="*/ 97971 h 1723571"/>
              <a:gd name="connsiteX21" fmla="*/ 426922 w 2266608"/>
              <a:gd name="connsiteY21" fmla="*/ 195942 h 1723571"/>
              <a:gd name="connsiteX22" fmla="*/ 455951 w 2266608"/>
              <a:gd name="connsiteY22" fmla="*/ 181428 h 1723571"/>
              <a:gd name="connsiteX23" fmla="*/ 492237 w 2266608"/>
              <a:gd name="connsiteY23" fmla="*/ 199571 h 1723571"/>
              <a:gd name="connsiteX24" fmla="*/ 561824 w 2266608"/>
              <a:gd name="connsiteY24" fmla="*/ 353493 h 1723571"/>
              <a:gd name="connsiteX25" fmla="*/ 704186 w 2266608"/>
              <a:gd name="connsiteY25" fmla="*/ 337068 h 1723571"/>
              <a:gd name="connsiteX26" fmla="*/ 757122 w 2266608"/>
              <a:gd name="connsiteY26" fmla="*/ 359228 h 1723571"/>
              <a:gd name="connsiteX27" fmla="*/ 784229 w 2266608"/>
              <a:gd name="connsiteY27" fmla="*/ 324269 h 1723571"/>
              <a:gd name="connsiteX28" fmla="*/ 855094 w 2266608"/>
              <a:gd name="connsiteY28" fmla="*/ 315685 h 1723571"/>
              <a:gd name="connsiteX29" fmla="*/ 908449 w 2266608"/>
              <a:gd name="connsiteY29" fmla="*/ 264496 h 1723571"/>
              <a:gd name="connsiteX30" fmla="*/ 1003865 w 2266608"/>
              <a:gd name="connsiteY30" fmla="*/ 297542 h 1723571"/>
              <a:gd name="connsiteX31" fmla="*/ 1025637 w 2266608"/>
              <a:gd name="connsiteY31" fmla="*/ 319314 h 1723571"/>
              <a:gd name="connsiteX32" fmla="*/ 1058294 w 2266608"/>
              <a:gd name="connsiteY32" fmla="*/ 337457 h 1723571"/>
              <a:gd name="connsiteX33" fmla="*/ 1051037 w 2266608"/>
              <a:gd name="connsiteY33" fmla="*/ 373742 h 1723571"/>
              <a:gd name="connsiteX34" fmla="*/ 1101837 w 2266608"/>
              <a:gd name="connsiteY34" fmla="*/ 377371 h 1723571"/>
              <a:gd name="connsiteX35" fmla="*/ 1119979 w 2266608"/>
              <a:gd name="connsiteY35" fmla="*/ 424542 h 1723571"/>
              <a:gd name="connsiteX36" fmla="*/ 1119979 w 2266608"/>
              <a:gd name="connsiteY36" fmla="*/ 431800 h 1723571"/>
              <a:gd name="connsiteX37" fmla="*/ 1098208 w 2266608"/>
              <a:gd name="connsiteY37" fmla="*/ 468085 h 1723571"/>
              <a:gd name="connsiteX38" fmla="*/ 1112722 w 2266608"/>
              <a:gd name="connsiteY38" fmla="*/ 518885 h 1723571"/>
              <a:gd name="connsiteX39" fmla="*/ 1163522 w 2266608"/>
              <a:gd name="connsiteY39" fmla="*/ 540657 h 1723571"/>
              <a:gd name="connsiteX40" fmla="*/ 1250608 w 2266608"/>
              <a:gd name="connsiteY40" fmla="*/ 562428 h 1723571"/>
              <a:gd name="connsiteX41" fmla="*/ 1265122 w 2266608"/>
              <a:gd name="connsiteY41" fmla="*/ 566057 h 1723571"/>
              <a:gd name="connsiteX42" fmla="*/ 1272379 w 2266608"/>
              <a:gd name="connsiteY42" fmla="*/ 605971 h 1723571"/>
              <a:gd name="connsiteX43" fmla="*/ 1330008 w 2266608"/>
              <a:gd name="connsiteY43" fmla="*/ 578660 h 1723571"/>
              <a:gd name="connsiteX44" fmla="*/ 1342244 w 2266608"/>
              <a:gd name="connsiteY44" fmla="*/ 539147 h 1723571"/>
              <a:gd name="connsiteX45" fmla="*/ 1419438 w 2266608"/>
              <a:gd name="connsiteY45" fmla="*/ 511628 h 1723571"/>
              <a:gd name="connsiteX46" fmla="*/ 1464479 w 2266608"/>
              <a:gd name="connsiteY46" fmla="*/ 524037 h 1723571"/>
              <a:gd name="connsiteX47" fmla="*/ 1487744 w 2266608"/>
              <a:gd name="connsiteY47" fmla="*/ 500354 h 1723571"/>
              <a:gd name="connsiteX48" fmla="*/ 1484156 w 2266608"/>
              <a:gd name="connsiteY48" fmla="*/ 440654 h 1723571"/>
              <a:gd name="connsiteX49" fmla="*/ 1518915 w 2266608"/>
              <a:gd name="connsiteY49" fmla="*/ 371903 h 1723571"/>
              <a:gd name="connsiteX50" fmla="*/ 1549429 w 2266608"/>
              <a:gd name="connsiteY50" fmla="*/ 380416 h 1723571"/>
              <a:gd name="connsiteX51" fmla="*/ 1586286 w 2266608"/>
              <a:gd name="connsiteY51" fmla="*/ 312464 h 1723571"/>
              <a:gd name="connsiteX52" fmla="*/ 1692435 w 2266608"/>
              <a:gd name="connsiteY52" fmla="*/ 250177 h 1723571"/>
              <a:gd name="connsiteX53" fmla="*/ 1774401 w 2266608"/>
              <a:gd name="connsiteY53" fmla="*/ 302304 h 1723571"/>
              <a:gd name="connsiteX54" fmla="*/ 1833886 w 2266608"/>
              <a:gd name="connsiteY54" fmla="*/ 291547 h 1723571"/>
              <a:gd name="connsiteX55" fmla="*/ 1852951 w 2266608"/>
              <a:gd name="connsiteY55" fmla="*/ 293914 h 1723571"/>
              <a:gd name="connsiteX56" fmla="*/ 1921250 w 2266608"/>
              <a:gd name="connsiteY56" fmla="*/ 333633 h 1723571"/>
              <a:gd name="connsiteX57" fmla="*/ 1968851 w 2266608"/>
              <a:gd name="connsiteY57" fmla="*/ 308038 h 1723571"/>
              <a:gd name="connsiteX58" fmla="*/ 2057634 w 2266608"/>
              <a:gd name="connsiteY58" fmla="*/ 381744 h 1723571"/>
              <a:gd name="connsiteX59" fmla="*/ 2098835 w 2266608"/>
              <a:gd name="connsiteY59" fmla="*/ 380415 h 1723571"/>
              <a:gd name="connsiteX60" fmla="*/ 2190408 w 2266608"/>
              <a:gd name="connsiteY60" fmla="*/ 446314 h 1723571"/>
              <a:gd name="connsiteX61" fmla="*/ 2201294 w 2266608"/>
              <a:gd name="connsiteY61" fmla="*/ 558800 h 1723571"/>
              <a:gd name="connsiteX62" fmla="*/ 2237579 w 2266608"/>
              <a:gd name="connsiteY62" fmla="*/ 558800 h 1723571"/>
              <a:gd name="connsiteX63" fmla="*/ 2266608 w 2266608"/>
              <a:gd name="connsiteY63" fmla="*/ 613228 h 1723571"/>
              <a:gd name="connsiteX64" fmla="*/ 2208551 w 2266608"/>
              <a:gd name="connsiteY64" fmla="*/ 620485 h 1723571"/>
              <a:gd name="connsiteX65" fmla="*/ 2154122 w 2266608"/>
              <a:gd name="connsiteY65" fmla="*/ 678542 h 1723571"/>
              <a:gd name="connsiteX66" fmla="*/ 2143237 w 2266608"/>
              <a:gd name="connsiteY66" fmla="*/ 725714 h 1723571"/>
              <a:gd name="connsiteX67" fmla="*/ 2201294 w 2266608"/>
              <a:gd name="connsiteY67" fmla="*/ 751114 h 1723571"/>
              <a:gd name="connsiteX68" fmla="*/ 2165008 w 2266608"/>
              <a:gd name="connsiteY68" fmla="*/ 783771 h 1723571"/>
              <a:gd name="connsiteX69" fmla="*/ 2168637 w 2266608"/>
              <a:gd name="connsiteY69" fmla="*/ 823685 h 1723571"/>
              <a:gd name="connsiteX70" fmla="*/ 2016237 w 2266608"/>
              <a:gd name="connsiteY70" fmla="*/ 1019628 h 1723571"/>
              <a:gd name="connsiteX71" fmla="*/ 1914637 w 2266608"/>
              <a:gd name="connsiteY71" fmla="*/ 1081314 h 1723571"/>
              <a:gd name="connsiteX72" fmla="*/ 1925522 w 2266608"/>
              <a:gd name="connsiteY72" fmla="*/ 1197428 h 1723571"/>
              <a:gd name="connsiteX73" fmla="*/ 1780379 w 2266608"/>
              <a:gd name="connsiteY73" fmla="*/ 1338942 h 1723571"/>
              <a:gd name="connsiteX74" fmla="*/ 1733208 w 2266608"/>
              <a:gd name="connsiteY74" fmla="*/ 1491342 h 1723571"/>
              <a:gd name="connsiteX75" fmla="*/ 1682408 w 2266608"/>
              <a:gd name="connsiteY75" fmla="*/ 1571171 h 1723571"/>
              <a:gd name="connsiteX76" fmla="*/ 1598951 w 2266608"/>
              <a:gd name="connsiteY76" fmla="*/ 1618342 h 1723571"/>
              <a:gd name="connsiteX77" fmla="*/ 1566294 w 2266608"/>
              <a:gd name="connsiteY77" fmla="*/ 1618342 h 1723571"/>
              <a:gd name="connsiteX78" fmla="*/ 1559037 w 2266608"/>
              <a:gd name="connsiteY78" fmla="*/ 1578428 h 1723571"/>
              <a:gd name="connsiteX79" fmla="*/ 1519122 w 2266608"/>
              <a:gd name="connsiteY79" fmla="*/ 1563914 h 1723571"/>
              <a:gd name="connsiteX80" fmla="*/ 1457437 w 2266608"/>
              <a:gd name="connsiteY80" fmla="*/ 1618342 h 1723571"/>
              <a:gd name="connsiteX81" fmla="*/ 1424779 w 2266608"/>
              <a:gd name="connsiteY81" fmla="*/ 1618342 h 1723571"/>
              <a:gd name="connsiteX82" fmla="*/ 1428408 w 2266608"/>
              <a:gd name="connsiteY82" fmla="*/ 1582057 h 1723571"/>
              <a:gd name="connsiteX83" fmla="*/ 1388494 w 2266608"/>
              <a:gd name="connsiteY83" fmla="*/ 1582057 h 1723571"/>
              <a:gd name="connsiteX84" fmla="*/ 1334065 w 2266608"/>
              <a:gd name="connsiteY84" fmla="*/ 1480457 h 1723571"/>
              <a:gd name="connsiteX85" fmla="*/ 1268751 w 2266608"/>
              <a:gd name="connsiteY85" fmla="*/ 1444171 h 1723571"/>
              <a:gd name="connsiteX86" fmla="*/ 1203437 w 2266608"/>
              <a:gd name="connsiteY86" fmla="*/ 1455057 h 1723571"/>
              <a:gd name="connsiteX87" fmla="*/ 1134494 w 2266608"/>
              <a:gd name="connsiteY87" fmla="*/ 1440542 h 1723571"/>
              <a:gd name="connsiteX88" fmla="*/ 1054665 w 2266608"/>
              <a:gd name="connsiteY88" fmla="*/ 1701800 h 1723571"/>
              <a:gd name="connsiteX89" fmla="*/ 989351 w 2266608"/>
              <a:gd name="connsiteY89" fmla="*/ 1607457 h 1723571"/>
              <a:gd name="connsiteX90" fmla="*/ 963951 w 2266608"/>
              <a:gd name="connsiteY90" fmla="*/ 1629228 h 1723571"/>
              <a:gd name="connsiteX91" fmla="*/ 938551 w 2266608"/>
              <a:gd name="connsiteY91" fmla="*/ 1618342 h 1723571"/>
              <a:gd name="connsiteX92" fmla="*/ 905894 w 2266608"/>
              <a:gd name="connsiteY92" fmla="*/ 1636485 h 1723571"/>
              <a:gd name="connsiteX93" fmla="*/ 884122 w 2266608"/>
              <a:gd name="connsiteY93" fmla="*/ 1614714 h 1723571"/>
              <a:gd name="connsiteX94" fmla="*/ 847837 w 2266608"/>
              <a:gd name="connsiteY94" fmla="*/ 1640114 h 1723571"/>
              <a:gd name="connsiteX95" fmla="*/ 844208 w 2266608"/>
              <a:gd name="connsiteY95" fmla="*/ 1680028 h 1723571"/>
              <a:gd name="connsiteX96" fmla="*/ 771637 w 2266608"/>
              <a:gd name="connsiteY96" fmla="*/ 1723571 h 1723571"/>
              <a:gd name="connsiteX97" fmla="*/ 746237 w 2266608"/>
              <a:gd name="connsiteY97" fmla="*/ 1698171 h 1723571"/>
              <a:gd name="connsiteX98" fmla="*/ 655522 w 2266608"/>
              <a:gd name="connsiteY98" fmla="*/ 1719942 h 1723571"/>
              <a:gd name="connsiteX99" fmla="*/ 582951 w 2266608"/>
              <a:gd name="connsiteY99" fmla="*/ 1680028 h 1723571"/>
              <a:gd name="connsiteX100" fmla="*/ 582951 w 2266608"/>
              <a:gd name="connsiteY100" fmla="*/ 1632857 h 1723571"/>
              <a:gd name="connsiteX101" fmla="*/ 626494 w 2266608"/>
              <a:gd name="connsiteY101" fmla="*/ 1589314 h 1723571"/>
              <a:gd name="connsiteX102" fmla="*/ 630122 w 2266608"/>
              <a:gd name="connsiteY102" fmla="*/ 1498600 h 1723571"/>
              <a:gd name="connsiteX103" fmla="*/ 608351 w 2266608"/>
              <a:gd name="connsiteY103" fmla="*/ 1480457 h 1723571"/>
              <a:gd name="connsiteX104" fmla="*/ 514008 w 2266608"/>
              <a:gd name="connsiteY104" fmla="*/ 1440542 h 1723571"/>
              <a:gd name="connsiteX105" fmla="*/ 426922 w 2266608"/>
              <a:gd name="connsiteY105" fmla="*/ 1284514 h 1723571"/>
              <a:gd name="connsiteX106" fmla="*/ 423294 w 2266608"/>
              <a:gd name="connsiteY106" fmla="*/ 1277257 h 1723571"/>
              <a:gd name="connsiteX107" fmla="*/ 347094 w 2266608"/>
              <a:gd name="connsiteY107" fmla="*/ 1349828 h 1723571"/>
              <a:gd name="connsiteX108" fmla="*/ 289037 w 2266608"/>
              <a:gd name="connsiteY108" fmla="*/ 1302657 h 1723571"/>
              <a:gd name="connsiteX109" fmla="*/ 256379 w 2266608"/>
              <a:gd name="connsiteY109" fmla="*/ 1324428 h 1723571"/>
              <a:gd name="connsiteX110" fmla="*/ 187437 w 2266608"/>
              <a:gd name="connsiteY110" fmla="*/ 1320800 h 1723571"/>
              <a:gd name="connsiteX111" fmla="*/ 103979 w 2266608"/>
              <a:gd name="connsiteY111" fmla="*/ 1244600 h 1723571"/>
              <a:gd name="connsiteX0" fmla="*/ 114271 w 2276900"/>
              <a:gd name="connsiteY0" fmla="*/ 1244600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81614 w 2276900"/>
              <a:gd name="connsiteY12" fmla="*/ 420914 h 1723571"/>
              <a:gd name="connsiteX13" fmla="*/ 146929 w 2276900"/>
              <a:gd name="connsiteY13" fmla="*/ 344714 h 1723571"/>
              <a:gd name="connsiteX14" fmla="*/ 146929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44786 w 2276900"/>
              <a:gd name="connsiteY87" fmla="*/ 1440542 h 1723571"/>
              <a:gd name="connsiteX88" fmla="*/ 1064957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58129 w 2276900"/>
              <a:gd name="connsiteY94" fmla="*/ 1640114 h 1723571"/>
              <a:gd name="connsiteX95" fmla="*/ 854500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14271 w 2276900"/>
              <a:gd name="connsiteY111" fmla="*/ 1244600 h 1723571"/>
              <a:gd name="connsiteX0" fmla="*/ 114271 w 2276900"/>
              <a:gd name="connsiteY0" fmla="*/ 1244600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81614 w 2276900"/>
              <a:gd name="connsiteY12" fmla="*/ 420914 h 1723571"/>
              <a:gd name="connsiteX13" fmla="*/ 134258 w 2276900"/>
              <a:gd name="connsiteY13" fmla="*/ 344714 h 1723571"/>
              <a:gd name="connsiteX14" fmla="*/ 146929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44786 w 2276900"/>
              <a:gd name="connsiteY87" fmla="*/ 1440542 h 1723571"/>
              <a:gd name="connsiteX88" fmla="*/ 1064957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58129 w 2276900"/>
              <a:gd name="connsiteY94" fmla="*/ 1640114 h 1723571"/>
              <a:gd name="connsiteX95" fmla="*/ 854500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14271 w 2276900"/>
              <a:gd name="connsiteY111" fmla="*/ 1244600 h 1723571"/>
              <a:gd name="connsiteX0" fmla="*/ 114271 w 2276900"/>
              <a:gd name="connsiteY0" fmla="*/ 1244600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81614 w 2276900"/>
              <a:gd name="connsiteY12" fmla="*/ 420914 h 1723571"/>
              <a:gd name="connsiteX13" fmla="*/ 134258 w 2276900"/>
              <a:gd name="connsiteY13" fmla="*/ 344714 h 1723571"/>
              <a:gd name="connsiteX14" fmla="*/ 130035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44786 w 2276900"/>
              <a:gd name="connsiteY87" fmla="*/ 1440542 h 1723571"/>
              <a:gd name="connsiteX88" fmla="*/ 1064957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58129 w 2276900"/>
              <a:gd name="connsiteY94" fmla="*/ 1640114 h 1723571"/>
              <a:gd name="connsiteX95" fmla="*/ 854500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14271 w 2276900"/>
              <a:gd name="connsiteY111" fmla="*/ 1244600 h 1723571"/>
              <a:gd name="connsiteX0" fmla="*/ 101600 w 2276900"/>
              <a:gd name="connsiteY0" fmla="*/ 1248823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81614 w 2276900"/>
              <a:gd name="connsiteY12" fmla="*/ 420914 h 1723571"/>
              <a:gd name="connsiteX13" fmla="*/ 134258 w 2276900"/>
              <a:gd name="connsiteY13" fmla="*/ 344714 h 1723571"/>
              <a:gd name="connsiteX14" fmla="*/ 130035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44786 w 2276900"/>
              <a:gd name="connsiteY87" fmla="*/ 1440542 h 1723571"/>
              <a:gd name="connsiteX88" fmla="*/ 1064957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58129 w 2276900"/>
              <a:gd name="connsiteY94" fmla="*/ 1640114 h 1723571"/>
              <a:gd name="connsiteX95" fmla="*/ 854500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01600 w 2276900"/>
              <a:gd name="connsiteY111" fmla="*/ 1248823 h 1723571"/>
              <a:gd name="connsiteX0" fmla="*/ 101600 w 2276900"/>
              <a:gd name="connsiteY0" fmla="*/ 1248823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68944 w 2276900"/>
              <a:gd name="connsiteY12" fmla="*/ 429362 h 1723571"/>
              <a:gd name="connsiteX13" fmla="*/ 134258 w 2276900"/>
              <a:gd name="connsiteY13" fmla="*/ 344714 h 1723571"/>
              <a:gd name="connsiteX14" fmla="*/ 130035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44786 w 2276900"/>
              <a:gd name="connsiteY87" fmla="*/ 1440542 h 1723571"/>
              <a:gd name="connsiteX88" fmla="*/ 1064957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58129 w 2276900"/>
              <a:gd name="connsiteY94" fmla="*/ 1640114 h 1723571"/>
              <a:gd name="connsiteX95" fmla="*/ 854500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01600 w 2276900"/>
              <a:gd name="connsiteY111" fmla="*/ 1248823 h 1723571"/>
              <a:gd name="connsiteX0" fmla="*/ 101600 w 2276900"/>
              <a:gd name="connsiteY0" fmla="*/ 1248823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68944 w 2276900"/>
              <a:gd name="connsiteY12" fmla="*/ 429362 h 1723571"/>
              <a:gd name="connsiteX13" fmla="*/ 134258 w 2276900"/>
              <a:gd name="connsiteY13" fmla="*/ 344714 h 1723571"/>
              <a:gd name="connsiteX14" fmla="*/ 130035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44786 w 2276900"/>
              <a:gd name="connsiteY87" fmla="*/ 1440542 h 1723571"/>
              <a:gd name="connsiteX88" fmla="*/ 1077628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58129 w 2276900"/>
              <a:gd name="connsiteY94" fmla="*/ 1640114 h 1723571"/>
              <a:gd name="connsiteX95" fmla="*/ 854500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01600 w 2276900"/>
              <a:gd name="connsiteY111" fmla="*/ 1248823 h 1723571"/>
              <a:gd name="connsiteX0" fmla="*/ 101600 w 2276900"/>
              <a:gd name="connsiteY0" fmla="*/ 1248823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68944 w 2276900"/>
              <a:gd name="connsiteY12" fmla="*/ 429362 h 1723571"/>
              <a:gd name="connsiteX13" fmla="*/ 134258 w 2276900"/>
              <a:gd name="connsiteY13" fmla="*/ 344714 h 1723571"/>
              <a:gd name="connsiteX14" fmla="*/ 130035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44786 w 2276900"/>
              <a:gd name="connsiteY87" fmla="*/ 1440542 h 1723571"/>
              <a:gd name="connsiteX88" fmla="*/ 1077628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70799 w 2276900"/>
              <a:gd name="connsiteY94" fmla="*/ 1644337 h 1723571"/>
              <a:gd name="connsiteX95" fmla="*/ 854500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01600 w 2276900"/>
              <a:gd name="connsiteY111" fmla="*/ 1248823 h 1723571"/>
              <a:gd name="connsiteX0" fmla="*/ 101600 w 2276900"/>
              <a:gd name="connsiteY0" fmla="*/ 1248823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68944 w 2276900"/>
              <a:gd name="connsiteY12" fmla="*/ 429362 h 1723571"/>
              <a:gd name="connsiteX13" fmla="*/ 134258 w 2276900"/>
              <a:gd name="connsiteY13" fmla="*/ 344714 h 1723571"/>
              <a:gd name="connsiteX14" fmla="*/ 130035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44786 w 2276900"/>
              <a:gd name="connsiteY87" fmla="*/ 1440542 h 1723571"/>
              <a:gd name="connsiteX88" fmla="*/ 1077628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70799 w 2276900"/>
              <a:gd name="connsiteY94" fmla="*/ 1644337 h 1723571"/>
              <a:gd name="connsiteX95" fmla="*/ 867171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01600 w 2276900"/>
              <a:gd name="connsiteY111" fmla="*/ 1248823 h 1723571"/>
              <a:gd name="connsiteX0" fmla="*/ 101600 w 2276900"/>
              <a:gd name="connsiteY0" fmla="*/ 1248823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68944 w 2276900"/>
              <a:gd name="connsiteY12" fmla="*/ 429362 h 1723571"/>
              <a:gd name="connsiteX13" fmla="*/ 134258 w 2276900"/>
              <a:gd name="connsiteY13" fmla="*/ 344714 h 1723571"/>
              <a:gd name="connsiteX14" fmla="*/ 130035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43500 w 2276900"/>
              <a:gd name="connsiteY74" fmla="*/ 1491342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57457 w 2276900"/>
              <a:gd name="connsiteY87" fmla="*/ 1444765 h 1723571"/>
              <a:gd name="connsiteX88" fmla="*/ 1077628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70799 w 2276900"/>
              <a:gd name="connsiteY94" fmla="*/ 1644337 h 1723571"/>
              <a:gd name="connsiteX95" fmla="*/ 867171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01600 w 2276900"/>
              <a:gd name="connsiteY111" fmla="*/ 1248823 h 1723571"/>
              <a:gd name="connsiteX0" fmla="*/ 101600 w 2276900"/>
              <a:gd name="connsiteY0" fmla="*/ 1248823 h 1723571"/>
              <a:gd name="connsiteX1" fmla="*/ 127000 w 2276900"/>
              <a:gd name="connsiteY1" fmla="*/ 1059542 h 1723571"/>
              <a:gd name="connsiteX2" fmla="*/ 89525 w 2276900"/>
              <a:gd name="connsiteY2" fmla="*/ 1030514 h 1723571"/>
              <a:gd name="connsiteX3" fmla="*/ 94343 w 2276900"/>
              <a:gd name="connsiteY3" fmla="*/ 979714 h 1723571"/>
              <a:gd name="connsiteX4" fmla="*/ 50800 w 2276900"/>
              <a:gd name="connsiteY4" fmla="*/ 872642 h 1723571"/>
              <a:gd name="connsiteX5" fmla="*/ 10292 w 2276900"/>
              <a:gd name="connsiteY5" fmla="*/ 842423 h 1723571"/>
              <a:gd name="connsiteX6" fmla="*/ 32658 w 2276900"/>
              <a:gd name="connsiteY6" fmla="*/ 765628 h 1723571"/>
              <a:gd name="connsiteX7" fmla="*/ 13920 w 2276900"/>
              <a:gd name="connsiteY7" fmla="*/ 673666 h 1723571"/>
              <a:gd name="connsiteX8" fmla="*/ 65910 w 2276900"/>
              <a:gd name="connsiteY8" fmla="*/ 630182 h 1723571"/>
              <a:gd name="connsiteX9" fmla="*/ 0 w 2276900"/>
              <a:gd name="connsiteY9" fmla="*/ 534589 h 1723571"/>
              <a:gd name="connsiteX10" fmla="*/ 96129 w 2276900"/>
              <a:gd name="connsiteY10" fmla="*/ 460828 h 1723571"/>
              <a:gd name="connsiteX11" fmla="*/ 96129 w 2276900"/>
              <a:gd name="connsiteY11" fmla="*/ 449942 h 1723571"/>
              <a:gd name="connsiteX12" fmla="*/ 68944 w 2276900"/>
              <a:gd name="connsiteY12" fmla="*/ 429362 h 1723571"/>
              <a:gd name="connsiteX13" fmla="*/ 134258 w 2276900"/>
              <a:gd name="connsiteY13" fmla="*/ 344714 h 1723571"/>
              <a:gd name="connsiteX14" fmla="*/ 130035 w 2276900"/>
              <a:gd name="connsiteY14" fmla="*/ 290285 h 1723571"/>
              <a:gd name="connsiteX15" fmla="*/ 56214 w 2276900"/>
              <a:gd name="connsiteY15" fmla="*/ 185057 h 1723571"/>
              <a:gd name="connsiteX16" fmla="*/ 103386 w 2276900"/>
              <a:gd name="connsiteY16" fmla="*/ 116114 h 1723571"/>
              <a:gd name="connsiteX17" fmla="*/ 99757 w 2276900"/>
              <a:gd name="connsiteY17" fmla="*/ 43542 h 1723571"/>
              <a:gd name="connsiteX18" fmla="*/ 288443 w 2276900"/>
              <a:gd name="connsiteY18" fmla="*/ 0 h 1723571"/>
              <a:gd name="connsiteX19" fmla="*/ 353757 w 2276900"/>
              <a:gd name="connsiteY19" fmla="*/ 29028 h 1723571"/>
              <a:gd name="connsiteX20" fmla="*/ 408186 w 2276900"/>
              <a:gd name="connsiteY20" fmla="*/ 97971 h 1723571"/>
              <a:gd name="connsiteX21" fmla="*/ 437214 w 2276900"/>
              <a:gd name="connsiteY21" fmla="*/ 195942 h 1723571"/>
              <a:gd name="connsiteX22" fmla="*/ 466243 w 2276900"/>
              <a:gd name="connsiteY22" fmla="*/ 181428 h 1723571"/>
              <a:gd name="connsiteX23" fmla="*/ 502529 w 2276900"/>
              <a:gd name="connsiteY23" fmla="*/ 199571 h 1723571"/>
              <a:gd name="connsiteX24" fmla="*/ 572116 w 2276900"/>
              <a:gd name="connsiteY24" fmla="*/ 353493 h 1723571"/>
              <a:gd name="connsiteX25" fmla="*/ 714478 w 2276900"/>
              <a:gd name="connsiteY25" fmla="*/ 337068 h 1723571"/>
              <a:gd name="connsiteX26" fmla="*/ 767414 w 2276900"/>
              <a:gd name="connsiteY26" fmla="*/ 359228 h 1723571"/>
              <a:gd name="connsiteX27" fmla="*/ 794521 w 2276900"/>
              <a:gd name="connsiteY27" fmla="*/ 324269 h 1723571"/>
              <a:gd name="connsiteX28" fmla="*/ 865386 w 2276900"/>
              <a:gd name="connsiteY28" fmla="*/ 315685 h 1723571"/>
              <a:gd name="connsiteX29" fmla="*/ 918741 w 2276900"/>
              <a:gd name="connsiteY29" fmla="*/ 264496 h 1723571"/>
              <a:gd name="connsiteX30" fmla="*/ 1014157 w 2276900"/>
              <a:gd name="connsiteY30" fmla="*/ 297542 h 1723571"/>
              <a:gd name="connsiteX31" fmla="*/ 1035929 w 2276900"/>
              <a:gd name="connsiteY31" fmla="*/ 319314 h 1723571"/>
              <a:gd name="connsiteX32" fmla="*/ 1068586 w 2276900"/>
              <a:gd name="connsiteY32" fmla="*/ 337457 h 1723571"/>
              <a:gd name="connsiteX33" fmla="*/ 1061329 w 2276900"/>
              <a:gd name="connsiteY33" fmla="*/ 373742 h 1723571"/>
              <a:gd name="connsiteX34" fmla="*/ 1112129 w 2276900"/>
              <a:gd name="connsiteY34" fmla="*/ 377371 h 1723571"/>
              <a:gd name="connsiteX35" fmla="*/ 1130271 w 2276900"/>
              <a:gd name="connsiteY35" fmla="*/ 424542 h 1723571"/>
              <a:gd name="connsiteX36" fmla="*/ 1130271 w 2276900"/>
              <a:gd name="connsiteY36" fmla="*/ 431800 h 1723571"/>
              <a:gd name="connsiteX37" fmla="*/ 1108500 w 2276900"/>
              <a:gd name="connsiteY37" fmla="*/ 468085 h 1723571"/>
              <a:gd name="connsiteX38" fmla="*/ 1123014 w 2276900"/>
              <a:gd name="connsiteY38" fmla="*/ 518885 h 1723571"/>
              <a:gd name="connsiteX39" fmla="*/ 1173814 w 2276900"/>
              <a:gd name="connsiteY39" fmla="*/ 540657 h 1723571"/>
              <a:gd name="connsiteX40" fmla="*/ 1260900 w 2276900"/>
              <a:gd name="connsiteY40" fmla="*/ 562428 h 1723571"/>
              <a:gd name="connsiteX41" fmla="*/ 1275414 w 2276900"/>
              <a:gd name="connsiteY41" fmla="*/ 566057 h 1723571"/>
              <a:gd name="connsiteX42" fmla="*/ 1282671 w 2276900"/>
              <a:gd name="connsiteY42" fmla="*/ 605971 h 1723571"/>
              <a:gd name="connsiteX43" fmla="*/ 1340300 w 2276900"/>
              <a:gd name="connsiteY43" fmla="*/ 578660 h 1723571"/>
              <a:gd name="connsiteX44" fmla="*/ 1352536 w 2276900"/>
              <a:gd name="connsiteY44" fmla="*/ 539147 h 1723571"/>
              <a:gd name="connsiteX45" fmla="*/ 1429730 w 2276900"/>
              <a:gd name="connsiteY45" fmla="*/ 511628 h 1723571"/>
              <a:gd name="connsiteX46" fmla="*/ 1474771 w 2276900"/>
              <a:gd name="connsiteY46" fmla="*/ 524037 h 1723571"/>
              <a:gd name="connsiteX47" fmla="*/ 1498036 w 2276900"/>
              <a:gd name="connsiteY47" fmla="*/ 500354 h 1723571"/>
              <a:gd name="connsiteX48" fmla="*/ 1494448 w 2276900"/>
              <a:gd name="connsiteY48" fmla="*/ 440654 h 1723571"/>
              <a:gd name="connsiteX49" fmla="*/ 1529207 w 2276900"/>
              <a:gd name="connsiteY49" fmla="*/ 371903 h 1723571"/>
              <a:gd name="connsiteX50" fmla="*/ 1559721 w 2276900"/>
              <a:gd name="connsiteY50" fmla="*/ 380416 h 1723571"/>
              <a:gd name="connsiteX51" fmla="*/ 1596578 w 2276900"/>
              <a:gd name="connsiteY51" fmla="*/ 312464 h 1723571"/>
              <a:gd name="connsiteX52" fmla="*/ 1702727 w 2276900"/>
              <a:gd name="connsiteY52" fmla="*/ 250177 h 1723571"/>
              <a:gd name="connsiteX53" fmla="*/ 1784693 w 2276900"/>
              <a:gd name="connsiteY53" fmla="*/ 302304 h 1723571"/>
              <a:gd name="connsiteX54" fmla="*/ 1844178 w 2276900"/>
              <a:gd name="connsiteY54" fmla="*/ 291547 h 1723571"/>
              <a:gd name="connsiteX55" fmla="*/ 1863243 w 2276900"/>
              <a:gd name="connsiteY55" fmla="*/ 293914 h 1723571"/>
              <a:gd name="connsiteX56" fmla="*/ 1931542 w 2276900"/>
              <a:gd name="connsiteY56" fmla="*/ 333633 h 1723571"/>
              <a:gd name="connsiteX57" fmla="*/ 1979143 w 2276900"/>
              <a:gd name="connsiteY57" fmla="*/ 308038 h 1723571"/>
              <a:gd name="connsiteX58" fmla="*/ 2067926 w 2276900"/>
              <a:gd name="connsiteY58" fmla="*/ 381744 h 1723571"/>
              <a:gd name="connsiteX59" fmla="*/ 2109127 w 2276900"/>
              <a:gd name="connsiteY59" fmla="*/ 380415 h 1723571"/>
              <a:gd name="connsiteX60" fmla="*/ 2200700 w 2276900"/>
              <a:gd name="connsiteY60" fmla="*/ 446314 h 1723571"/>
              <a:gd name="connsiteX61" fmla="*/ 2211586 w 2276900"/>
              <a:gd name="connsiteY61" fmla="*/ 558800 h 1723571"/>
              <a:gd name="connsiteX62" fmla="*/ 2247871 w 2276900"/>
              <a:gd name="connsiteY62" fmla="*/ 558800 h 1723571"/>
              <a:gd name="connsiteX63" fmla="*/ 2276900 w 2276900"/>
              <a:gd name="connsiteY63" fmla="*/ 613228 h 1723571"/>
              <a:gd name="connsiteX64" fmla="*/ 2218843 w 2276900"/>
              <a:gd name="connsiteY64" fmla="*/ 620485 h 1723571"/>
              <a:gd name="connsiteX65" fmla="*/ 2164414 w 2276900"/>
              <a:gd name="connsiteY65" fmla="*/ 678542 h 1723571"/>
              <a:gd name="connsiteX66" fmla="*/ 2153529 w 2276900"/>
              <a:gd name="connsiteY66" fmla="*/ 725714 h 1723571"/>
              <a:gd name="connsiteX67" fmla="*/ 2211586 w 2276900"/>
              <a:gd name="connsiteY67" fmla="*/ 751114 h 1723571"/>
              <a:gd name="connsiteX68" fmla="*/ 2175300 w 2276900"/>
              <a:gd name="connsiteY68" fmla="*/ 783771 h 1723571"/>
              <a:gd name="connsiteX69" fmla="*/ 2178929 w 2276900"/>
              <a:gd name="connsiteY69" fmla="*/ 823685 h 1723571"/>
              <a:gd name="connsiteX70" fmla="*/ 2026529 w 2276900"/>
              <a:gd name="connsiteY70" fmla="*/ 1019628 h 1723571"/>
              <a:gd name="connsiteX71" fmla="*/ 1924929 w 2276900"/>
              <a:gd name="connsiteY71" fmla="*/ 1081314 h 1723571"/>
              <a:gd name="connsiteX72" fmla="*/ 1935814 w 2276900"/>
              <a:gd name="connsiteY72" fmla="*/ 1197428 h 1723571"/>
              <a:gd name="connsiteX73" fmla="*/ 1790671 w 2276900"/>
              <a:gd name="connsiteY73" fmla="*/ 1338942 h 1723571"/>
              <a:gd name="connsiteX74" fmla="*/ 1760394 w 2276900"/>
              <a:gd name="connsiteY74" fmla="*/ 1482894 h 1723571"/>
              <a:gd name="connsiteX75" fmla="*/ 1692700 w 2276900"/>
              <a:gd name="connsiteY75" fmla="*/ 1571171 h 1723571"/>
              <a:gd name="connsiteX76" fmla="*/ 1609243 w 2276900"/>
              <a:gd name="connsiteY76" fmla="*/ 1618342 h 1723571"/>
              <a:gd name="connsiteX77" fmla="*/ 1576586 w 2276900"/>
              <a:gd name="connsiteY77" fmla="*/ 1618342 h 1723571"/>
              <a:gd name="connsiteX78" fmla="*/ 1569329 w 2276900"/>
              <a:gd name="connsiteY78" fmla="*/ 1578428 h 1723571"/>
              <a:gd name="connsiteX79" fmla="*/ 1529414 w 2276900"/>
              <a:gd name="connsiteY79" fmla="*/ 1563914 h 1723571"/>
              <a:gd name="connsiteX80" fmla="*/ 1467729 w 2276900"/>
              <a:gd name="connsiteY80" fmla="*/ 1618342 h 1723571"/>
              <a:gd name="connsiteX81" fmla="*/ 1435071 w 2276900"/>
              <a:gd name="connsiteY81" fmla="*/ 1618342 h 1723571"/>
              <a:gd name="connsiteX82" fmla="*/ 1438700 w 2276900"/>
              <a:gd name="connsiteY82" fmla="*/ 1582057 h 1723571"/>
              <a:gd name="connsiteX83" fmla="*/ 1398786 w 2276900"/>
              <a:gd name="connsiteY83" fmla="*/ 1582057 h 1723571"/>
              <a:gd name="connsiteX84" fmla="*/ 1344357 w 2276900"/>
              <a:gd name="connsiteY84" fmla="*/ 1480457 h 1723571"/>
              <a:gd name="connsiteX85" fmla="*/ 1279043 w 2276900"/>
              <a:gd name="connsiteY85" fmla="*/ 1444171 h 1723571"/>
              <a:gd name="connsiteX86" fmla="*/ 1213729 w 2276900"/>
              <a:gd name="connsiteY86" fmla="*/ 1455057 h 1723571"/>
              <a:gd name="connsiteX87" fmla="*/ 1157457 w 2276900"/>
              <a:gd name="connsiteY87" fmla="*/ 1444765 h 1723571"/>
              <a:gd name="connsiteX88" fmla="*/ 1077628 w 2276900"/>
              <a:gd name="connsiteY88" fmla="*/ 1701800 h 1723571"/>
              <a:gd name="connsiteX89" fmla="*/ 999643 w 2276900"/>
              <a:gd name="connsiteY89" fmla="*/ 1607457 h 1723571"/>
              <a:gd name="connsiteX90" fmla="*/ 974243 w 2276900"/>
              <a:gd name="connsiteY90" fmla="*/ 1629228 h 1723571"/>
              <a:gd name="connsiteX91" fmla="*/ 948843 w 2276900"/>
              <a:gd name="connsiteY91" fmla="*/ 1618342 h 1723571"/>
              <a:gd name="connsiteX92" fmla="*/ 916186 w 2276900"/>
              <a:gd name="connsiteY92" fmla="*/ 1636485 h 1723571"/>
              <a:gd name="connsiteX93" fmla="*/ 894414 w 2276900"/>
              <a:gd name="connsiteY93" fmla="*/ 1614714 h 1723571"/>
              <a:gd name="connsiteX94" fmla="*/ 870799 w 2276900"/>
              <a:gd name="connsiteY94" fmla="*/ 1644337 h 1723571"/>
              <a:gd name="connsiteX95" fmla="*/ 867171 w 2276900"/>
              <a:gd name="connsiteY95" fmla="*/ 1680028 h 1723571"/>
              <a:gd name="connsiteX96" fmla="*/ 781929 w 2276900"/>
              <a:gd name="connsiteY96" fmla="*/ 1723571 h 1723571"/>
              <a:gd name="connsiteX97" fmla="*/ 756529 w 2276900"/>
              <a:gd name="connsiteY97" fmla="*/ 1698171 h 1723571"/>
              <a:gd name="connsiteX98" fmla="*/ 665814 w 2276900"/>
              <a:gd name="connsiteY98" fmla="*/ 1719942 h 1723571"/>
              <a:gd name="connsiteX99" fmla="*/ 593243 w 2276900"/>
              <a:gd name="connsiteY99" fmla="*/ 1680028 h 1723571"/>
              <a:gd name="connsiteX100" fmla="*/ 593243 w 2276900"/>
              <a:gd name="connsiteY100" fmla="*/ 1632857 h 1723571"/>
              <a:gd name="connsiteX101" fmla="*/ 636786 w 2276900"/>
              <a:gd name="connsiteY101" fmla="*/ 1589314 h 1723571"/>
              <a:gd name="connsiteX102" fmla="*/ 640414 w 2276900"/>
              <a:gd name="connsiteY102" fmla="*/ 1498600 h 1723571"/>
              <a:gd name="connsiteX103" fmla="*/ 618643 w 2276900"/>
              <a:gd name="connsiteY103" fmla="*/ 1480457 h 1723571"/>
              <a:gd name="connsiteX104" fmla="*/ 524300 w 2276900"/>
              <a:gd name="connsiteY104" fmla="*/ 1440542 h 1723571"/>
              <a:gd name="connsiteX105" fmla="*/ 437214 w 2276900"/>
              <a:gd name="connsiteY105" fmla="*/ 1284514 h 1723571"/>
              <a:gd name="connsiteX106" fmla="*/ 433586 w 2276900"/>
              <a:gd name="connsiteY106" fmla="*/ 1277257 h 1723571"/>
              <a:gd name="connsiteX107" fmla="*/ 357386 w 2276900"/>
              <a:gd name="connsiteY107" fmla="*/ 1349828 h 1723571"/>
              <a:gd name="connsiteX108" fmla="*/ 299329 w 2276900"/>
              <a:gd name="connsiteY108" fmla="*/ 1302657 h 1723571"/>
              <a:gd name="connsiteX109" fmla="*/ 266671 w 2276900"/>
              <a:gd name="connsiteY109" fmla="*/ 1324428 h 1723571"/>
              <a:gd name="connsiteX110" fmla="*/ 197729 w 2276900"/>
              <a:gd name="connsiteY110" fmla="*/ 1320800 h 1723571"/>
              <a:gd name="connsiteX111" fmla="*/ 101600 w 2276900"/>
              <a:gd name="connsiteY111" fmla="*/ 1248823 h 172357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 ang="0">
                <a:pos x="connsiteX43" y="connsiteY43"/>
              </a:cxn>
              <a:cxn ang="0">
                <a:pos x="connsiteX44" y="connsiteY44"/>
              </a:cxn>
              <a:cxn ang="0">
                <a:pos x="connsiteX45" y="connsiteY45"/>
              </a:cxn>
              <a:cxn ang="0">
                <a:pos x="connsiteX46" y="connsiteY46"/>
              </a:cxn>
              <a:cxn ang="0">
                <a:pos x="connsiteX47" y="connsiteY47"/>
              </a:cxn>
              <a:cxn ang="0">
                <a:pos x="connsiteX48" y="connsiteY48"/>
              </a:cxn>
              <a:cxn ang="0">
                <a:pos x="connsiteX49" y="connsiteY49"/>
              </a:cxn>
              <a:cxn ang="0">
                <a:pos x="connsiteX50" y="connsiteY50"/>
              </a:cxn>
              <a:cxn ang="0">
                <a:pos x="connsiteX51" y="connsiteY51"/>
              </a:cxn>
              <a:cxn ang="0">
                <a:pos x="connsiteX52" y="connsiteY52"/>
              </a:cxn>
              <a:cxn ang="0">
                <a:pos x="connsiteX53" y="connsiteY53"/>
              </a:cxn>
              <a:cxn ang="0">
                <a:pos x="connsiteX54" y="connsiteY54"/>
              </a:cxn>
              <a:cxn ang="0">
                <a:pos x="connsiteX55" y="connsiteY55"/>
              </a:cxn>
              <a:cxn ang="0">
                <a:pos x="connsiteX56" y="connsiteY56"/>
              </a:cxn>
              <a:cxn ang="0">
                <a:pos x="connsiteX57" y="connsiteY57"/>
              </a:cxn>
              <a:cxn ang="0">
                <a:pos x="connsiteX58" y="connsiteY58"/>
              </a:cxn>
              <a:cxn ang="0">
                <a:pos x="connsiteX59" y="connsiteY59"/>
              </a:cxn>
              <a:cxn ang="0">
                <a:pos x="connsiteX60" y="connsiteY60"/>
              </a:cxn>
              <a:cxn ang="0">
                <a:pos x="connsiteX61" y="connsiteY61"/>
              </a:cxn>
              <a:cxn ang="0">
                <a:pos x="connsiteX62" y="connsiteY62"/>
              </a:cxn>
              <a:cxn ang="0">
                <a:pos x="connsiteX63" y="connsiteY63"/>
              </a:cxn>
              <a:cxn ang="0">
                <a:pos x="connsiteX64" y="connsiteY64"/>
              </a:cxn>
              <a:cxn ang="0">
                <a:pos x="connsiteX65" y="connsiteY65"/>
              </a:cxn>
              <a:cxn ang="0">
                <a:pos x="connsiteX66" y="connsiteY66"/>
              </a:cxn>
              <a:cxn ang="0">
                <a:pos x="connsiteX67" y="connsiteY67"/>
              </a:cxn>
              <a:cxn ang="0">
                <a:pos x="connsiteX68" y="connsiteY68"/>
              </a:cxn>
              <a:cxn ang="0">
                <a:pos x="connsiteX69" y="connsiteY69"/>
              </a:cxn>
              <a:cxn ang="0">
                <a:pos x="connsiteX70" y="connsiteY70"/>
              </a:cxn>
              <a:cxn ang="0">
                <a:pos x="connsiteX71" y="connsiteY71"/>
              </a:cxn>
              <a:cxn ang="0">
                <a:pos x="connsiteX72" y="connsiteY72"/>
              </a:cxn>
              <a:cxn ang="0">
                <a:pos x="connsiteX73" y="connsiteY73"/>
              </a:cxn>
              <a:cxn ang="0">
                <a:pos x="connsiteX74" y="connsiteY74"/>
              </a:cxn>
              <a:cxn ang="0">
                <a:pos x="connsiteX75" y="connsiteY75"/>
              </a:cxn>
              <a:cxn ang="0">
                <a:pos x="connsiteX76" y="connsiteY76"/>
              </a:cxn>
              <a:cxn ang="0">
                <a:pos x="connsiteX77" y="connsiteY77"/>
              </a:cxn>
              <a:cxn ang="0">
                <a:pos x="connsiteX78" y="connsiteY78"/>
              </a:cxn>
              <a:cxn ang="0">
                <a:pos x="connsiteX79" y="connsiteY79"/>
              </a:cxn>
              <a:cxn ang="0">
                <a:pos x="connsiteX80" y="connsiteY80"/>
              </a:cxn>
              <a:cxn ang="0">
                <a:pos x="connsiteX81" y="connsiteY81"/>
              </a:cxn>
              <a:cxn ang="0">
                <a:pos x="connsiteX82" y="connsiteY82"/>
              </a:cxn>
              <a:cxn ang="0">
                <a:pos x="connsiteX83" y="connsiteY83"/>
              </a:cxn>
              <a:cxn ang="0">
                <a:pos x="connsiteX84" y="connsiteY84"/>
              </a:cxn>
              <a:cxn ang="0">
                <a:pos x="connsiteX85" y="connsiteY85"/>
              </a:cxn>
              <a:cxn ang="0">
                <a:pos x="connsiteX86" y="connsiteY86"/>
              </a:cxn>
              <a:cxn ang="0">
                <a:pos x="connsiteX87" y="connsiteY87"/>
              </a:cxn>
              <a:cxn ang="0">
                <a:pos x="connsiteX88" y="connsiteY88"/>
              </a:cxn>
              <a:cxn ang="0">
                <a:pos x="connsiteX89" y="connsiteY89"/>
              </a:cxn>
              <a:cxn ang="0">
                <a:pos x="connsiteX90" y="connsiteY90"/>
              </a:cxn>
              <a:cxn ang="0">
                <a:pos x="connsiteX91" y="connsiteY91"/>
              </a:cxn>
              <a:cxn ang="0">
                <a:pos x="connsiteX92" y="connsiteY92"/>
              </a:cxn>
              <a:cxn ang="0">
                <a:pos x="connsiteX93" y="connsiteY93"/>
              </a:cxn>
              <a:cxn ang="0">
                <a:pos x="connsiteX94" y="connsiteY94"/>
              </a:cxn>
              <a:cxn ang="0">
                <a:pos x="connsiteX95" y="connsiteY95"/>
              </a:cxn>
              <a:cxn ang="0">
                <a:pos x="connsiteX96" y="connsiteY96"/>
              </a:cxn>
              <a:cxn ang="0">
                <a:pos x="connsiteX97" y="connsiteY97"/>
              </a:cxn>
              <a:cxn ang="0">
                <a:pos x="connsiteX98" y="connsiteY98"/>
              </a:cxn>
              <a:cxn ang="0">
                <a:pos x="connsiteX99" y="connsiteY99"/>
              </a:cxn>
              <a:cxn ang="0">
                <a:pos x="connsiteX100" y="connsiteY100"/>
              </a:cxn>
              <a:cxn ang="0">
                <a:pos x="connsiteX101" y="connsiteY101"/>
              </a:cxn>
              <a:cxn ang="0">
                <a:pos x="connsiteX102" y="connsiteY102"/>
              </a:cxn>
              <a:cxn ang="0">
                <a:pos x="connsiteX103" y="connsiteY103"/>
              </a:cxn>
              <a:cxn ang="0">
                <a:pos x="connsiteX104" y="connsiteY104"/>
              </a:cxn>
              <a:cxn ang="0">
                <a:pos x="connsiteX105" y="connsiteY105"/>
              </a:cxn>
              <a:cxn ang="0">
                <a:pos x="connsiteX106" y="connsiteY106"/>
              </a:cxn>
              <a:cxn ang="0">
                <a:pos x="connsiteX107" y="connsiteY107"/>
              </a:cxn>
              <a:cxn ang="0">
                <a:pos x="connsiteX108" y="connsiteY108"/>
              </a:cxn>
              <a:cxn ang="0">
                <a:pos x="connsiteX109" y="connsiteY109"/>
              </a:cxn>
              <a:cxn ang="0">
                <a:pos x="connsiteX110" y="connsiteY110"/>
              </a:cxn>
              <a:cxn ang="0">
                <a:pos x="connsiteX111" y="connsiteY111"/>
              </a:cxn>
            </a:cxnLst>
            <a:rect l="l" t="t" r="r" b="b"/>
            <a:pathLst>
              <a:path w="2276900" h="1723571">
                <a:moveTo>
                  <a:pt x="101600" y="1248823"/>
                </a:moveTo>
                <a:lnTo>
                  <a:pt x="127000" y="1059542"/>
                </a:lnTo>
                <a:lnTo>
                  <a:pt x="89525" y="1030514"/>
                </a:lnTo>
                <a:lnTo>
                  <a:pt x="94343" y="979714"/>
                </a:lnTo>
                <a:lnTo>
                  <a:pt x="50800" y="872642"/>
                </a:lnTo>
                <a:lnTo>
                  <a:pt x="10292" y="842423"/>
                </a:lnTo>
                <a:lnTo>
                  <a:pt x="32658" y="765628"/>
                </a:lnTo>
                <a:cubicBezTo>
                  <a:pt x="32043" y="729342"/>
                  <a:pt x="14535" y="709952"/>
                  <a:pt x="13920" y="673666"/>
                </a:cubicBezTo>
                <a:lnTo>
                  <a:pt x="65910" y="630182"/>
                </a:lnTo>
                <a:lnTo>
                  <a:pt x="0" y="534589"/>
                </a:lnTo>
                <a:lnTo>
                  <a:pt x="96129" y="460828"/>
                </a:lnTo>
                <a:lnTo>
                  <a:pt x="96129" y="449942"/>
                </a:lnTo>
                <a:lnTo>
                  <a:pt x="68944" y="429362"/>
                </a:lnTo>
                <a:lnTo>
                  <a:pt x="134258" y="344714"/>
                </a:lnTo>
                <a:lnTo>
                  <a:pt x="130035" y="290285"/>
                </a:lnTo>
                <a:lnTo>
                  <a:pt x="56214" y="185057"/>
                </a:lnTo>
                <a:lnTo>
                  <a:pt x="103386" y="116114"/>
                </a:lnTo>
                <a:lnTo>
                  <a:pt x="99757" y="43542"/>
                </a:lnTo>
                <a:lnTo>
                  <a:pt x="288443" y="0"/>
                </a:lnTo>
                <a:lnTo>
                  <a:pt x="353757" y="29028"/>
                </a:lnTo>
                <a:lnTo>
                  <a:pt x="408186" y="97971"/>
                </a:lnTo>
                <a:lnTo>
                  <a:pt x="437214" y="195942"/>
                </a:lnTo>
                <a:lnTo>
                  <a:pt x="466243" y="181428"/>
                </a:lnTo>
                <a:lnTo>
                  <a:pt x="502529" y="199571"/>
                </a:lnTo>
                <a:lnTo>
                  <a:pt x="572116" y="353493"/>
                </a:lnTo>
                <a:lnTo>
                  <a:pt x="714478" y="337068"/>
                </a:lnTo>
                <a:lnTo>
                  <a:pt x="767414" y="359228"/>
                </a:lnTo>
                <a:lnTo>
                  <a:pt x="794521" y="324269"/>
                </a:lnTo>
                <a:lnTo>
                  <a:pt x="865386" y="315685"/>
                </a:lnTo>
                <a:lnTo>
                  <a:pt x="918741" y="264496"/>
                </a:lnTo>
                <a:lnTo>
                  <a:pt x="1014157" y="297542"/>
                </a:lnTo>
                <a:lnTo>
                  <a:pt x="1035929" y="319314"/>
                </a:lnTo>
                <a:lnTo>
                  <a:pt x="1068586" y="337457"/>
                </a:lnTo>
                <a:lnTo>
                  <a:pt x="1061329" y="373742"/>
                </a:lnTo>
                <a:lnTo>
                  <a:pt x="1112129" y="377371"/>
                </a:lnTo>
                <a:lnTo>
                  <a:pt x="1130271" y="424542"/>
                </a:lnTo>
                <a:lnTo>
                  <a:pt x="1130271" y="431800"/>
                </a:lnTo>
                <a:lnTo>
                  <a:pt x="1108500" y="468085"/>
                </a:lnTo>
                <a:lnTo>
                  <a:pt x="1123014" y="518885"/>
                </a:lnTo>
                <a:lnTo>
                  <a:pt x="1173814" y="540657"/>
                </a:lnTo>
                <a:lnTo>
                  <a:pt x="1260900" y="562428"/>
                </a:lnTo>
                <a:lnTo>
                  <a:pt x="1275414" y="566057"/>
                </a:lnTo>
                <a:lnTo>
                  <a:pt x="1282671" y="605971"/>
                </a:lnTo>
                <a:lnTo>
                  <a:pt x="1340300" y="578660"/>
                </a:lnTo>
                <a:lnTo>
                  <a:pt x="1352536" y="539147"/>
                </a:lnTo>
                <a:lnTo>
                  <a:pt x="1429730" y="511628"/>
                </a:lnTo>
                <a:lnTo>
                  <a:pt x="1474771" y="524037"/>
                </a:lnTo>
                <a:lnTo>
                  <a:pt x="1498036" y="500354"/>
                </a:lnTo>
                <a:cubicBezTo>
                  <a:pt x="1499402" y="472171"/>
                  <a:pt x="1493082" y="468837"/>
                  <a:pt x="1494448" y="440654"/>
                </a:cubicBezTo>
                <a:lnTo>
                  <a:pt x="1529207" y="371903"/>
                </a:lnTo>
                <a:lnTo>
                  <a:pt x="1559721" y="380416"/>
                </a:lnTo>
                <a:lnTo>
                  <a:pt x="1596578" y="312464"/>
                </a:lnTo>
                <a:lnTo>
                  <a:pt x="1702727" y="250177"/>
                </a:lnTo>
                <a:lnTo>
                  <a:pt x="1784693" y="302304"/>
                </a:lnTo>
                <a:cubicBezTo>
                  <a:pt x="1807724" y="299993"/>
                  <a:pt x="1821147" y="293858"/>
                  <a:pt x="1844178" y="291547"/>
                </a:cubicBezTo>
                <a:lnTo>
                  <a:pt x="1863243" y="293914"/>
                </a:lnTo>
                <a:lnTo>
                  <a:pt x="1931542" y="333633"/>
                </a:lnTo>
                <a:cubicBezTo>
                  <a:pt x="1950859" y="335987"/>
                  <a:pt x="1951929" y="297152"/>
                  <a:pt x="1979143" y="308038"/>
                </a:cubicBezTo>
                <a:lnTo>
                  <a:pt x="2067926" y="381744"/>
                </a:lnTo>
                <a:lnTo>
                  <a:pt x="2109127" y="380415"/>
                </a:lnTo>
                <a:lnTo>
                  <a:pt x="2200700" y="446314"/>
                </a:lnTo>
                <a:lnTo>
                  <a:pt x="2211586" y="558800"/>
                </a:lnTo>
                <a:lnTo>
                  <a:pt x="2247871" y="558800"/>
                </a:lnTo>
                <a:lnTo>
                  <a:pt x="2276900" y="613228"/>
                </a:lnTo>
                <a:lnTo>
                  <a:pt x="2218843" y="620485"/>
                </a:lnTo>
                <a:lnTo>
                  <a:pt x="2164414" y="678542"/>
                </a:lnTo>
                <a:lnTo>
                  <a:pt x="2153529" y="725714"/>
                </a:lnTo>
                <a:lnTo>
                  <a:pt x="2211586" y="751114"/>
                </a:lnTo>
                <a:lnTo>
                  <a:pt x="2175300" y="783771"/>
                </a:lnTo>
                <a:lnTo>
                  <a:pt x="2178929" y="823685"/>
                </a:lnTo>
                <a:lnTo>
                  <a:pt x="2026529" y="1019628"/>
                </a:lnTo>
                <a:lnTo>
                  <a:pt x="1924929" y="1081314"/>
                </a:lnTo>
                <a:lnTo>
                  <a:pt x="1935814" y="1197428"/>
                </a:lnTo>
                <a:lnTo>
                  <a:pt x="1790671" y="1338942"/>
                </a:lnTo>
                <a:lnTo>
                  <a:pt x="1760394" y="1482894"/>
                </a:lnTo>
                <a:lnTo>
                  <a:pt x="1692700" y="1571171"/>
                </a:lnTo>
                <a:lnTo>
                  <a:pt x="1609243" y="1618342"/>
                </a:lnTo>
                <a:lnTo>
                  <a:pt x="1576586" y="1618342"/>
                </a:lnTo>
                <a:lnTo>
                  <a:pt x="1569329" y="1578428"/>
                </a:lnTo>
                <a:lnTo>
                  <a:pt x="1529414" y="1563914"/>
                </a:lnTo>
                <a:lnTo>
                  <a:pt x="1467729" y="1618342"/>
                </a:lnTo>
                <a:lnTo>
                  <a:pt x="1435071" y="1618342"/>
                </a:lnTo>
                <a:lnTo>
                  <a:pt x="1438700" y="1582057"/>
                </a:lnTo>
                <a:lnTo>
                  <a:pt x="1398786" y="1582057"/>
                </a:lnTo>
                <a:lnTo>
                  <a:pt x="1344357" y="1480457"/>
                </a:lnTo>
                <a:lnTo>
                  <a:pt x="1279043" y="1444171"/>
                </a:lnTo>
                <a:lnTo>
                  <a:pt x="1213729" y="1455057"/>
                </a:lnTo>
                <a:lnTo>
                  <a:pt x="1157457" y="1444765"/>
                </a:lnTo>
                <a:lnTo>
                  <a:pt x="1077628" y="1701800"/>
                </a:lnTo>
                <a:lnTo>
                  <a:pt x="999643" y="1607457"/>
                </a:lnTo>
                <a:lnTo>
                  <a:pt x="974243" y="1629228"/>
                </a:lnTo>
                <a:lnTo>
                  <a:pt x="948843" y="1618342"/>
                </a:lnTo>
                <a:lnTo>
                  <a:pt x="916186" y="1636485"/>
                </a:lnTo>
                <a:lnTo>
                  <a:pt x="894414" y="1614714"/>
                </a:lnTo>
                <a:lnTo>
                  <a:pt x="870799" y="1644337"/>
                </a:lnTo>
                <a:lnTo>
                  <a:pt x="867171" y="1680028"/>
                </a:lnTo>
                <a:lnTo>
                  <a:pt x="781929" y="1723571"/>
                </a:lnTo>
                <a:lnTo>
                  <a:pt x="756529" y="1698171"/>
                </a:lnTo>
                <a:lnTo>
                  <a:pt x="665814" y="1719942"/>
                </a:lnTo>
                <a:lnTo>
                  <a:pt x="593243" y="1680028"/>
                </a:lnTo>
                <a:lnTo>
                  <a:pt x="593243" y="1632857"/>
                </a:lnTo>
                <a:lnTo>
                  <a:pt x="636786" y="1589314"/>
                </a:lnTo>
                <a:lnTo>
                  <a:pt x="640414" y="1498600"/>
                </a:lnTo>
                <a:lnTo>
                  <a:pt x="618643" y="1480457"/>
                </a:lnTo>
                <a:lnTo>
                  <a:pt x="524300" y="1440542"/>
                </a:lnTo>
                <a:lnTo>
                  <a:pt x="437214" y="1284514"/>
                </a:lnTo>
                <a:lnTo>
                  <a:pt x="433586" y="1277257"/>
                </a:lnTo>
                <a:lnTo>
                  <a:pt x="357386" y="1349828"/>
                </a:lnTo>
                <a:lnTo>
                  <a:pt x="299329" y="1302657"/>
                </a:lnTo>
                <a:lnTo>
                  <a:pt x="266671" y="1324428"/>
                </a:lnTo>
                <a:lnTo>
                  <a:pt x="197729" y="1320800"/>
                </a:lnTo>
                <a:lnTo>
                  <a:pt x="101600" y="1248823"/>
                </a:lnTo>
                <a:close/>
              </a:path>
            </a:pathLst>
          </a:custGeom>
          <a:solidFill>
            <a:srgbClr val="3366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grpSp>
    <xdr:clientData/>
  </xdr:twoCellAnchor>
  <xdr:twoCellAnchor editAs="oneCell">
    <xdr:from>
      <xdr:col>8</xdr:col>
      <xdr:colOff>698501</xdr:colOff>
      <xdr:row>44</xdr:row>
      <xdr:rowOff>171450</xdr:rowOff>
    </xdr:from>
    <xdr:to>
      <xdr:col>9</xdr:col>
      <xdr:colOff>330201</xdr:colOff>
      <xdr:row>45</xdr:row>
      <xdr:rowOff>151730</xdr:rowOff>
    </xdr:to>
    <xdr:pic>
      <xdr:nvPicPr>
        <xdr:cNvPr id="6" name="Image 5" descr="Ajaccio">
          <a:extLst>
            <a:ext uri="{FF2B5EF4-FFF2-40B4-BE49-F238E27FC236}">
              <a16:creationId xmlns:a16="http://schemas.microsoft.com/office/drawing/2014/main" id="{00000000-0008-0000-01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57000"/>
        <a:stretch/>
      </xdr:blipFill>
      <xdr:spPr>
        <a:xfrm>
          <a:off x="7708901" y="8007350"/>
          <a:ext cx="508000" cy="158080"/>
        </a:xfrm>
        <a:prstGeom prst="rect">
          <a:avLst/>
        </a:prstGeom>
      </xdr:spPr>
    </xdr:pic>
    <xdr:clientData/>
  </xdr:twoCellAnchor>
  <xdr:twoCellAnchor editAs="oneCell">
    <xdr:from>
      <xdr:col>3</xdr:col>
      <xdr:colOff>177800</xdr:colOff>
      <xdr:row>22</xdr:row>
      <xdr:rowOff>165100</xdr:rowOff>
    </xdr:from>
    <xdr:to>
      <xdr:col>3</xdr:col>
      <xdr:colOff>651935</xdr:colOff>
      <xdr:row>23</xdr:row>
      <xdr:rowOff>127000</xdr:rowOff>
    </xdr:to>
    <xdr:pic>
      <xdr:nvPicPr>
        <xdr:cNvPr id="7" name="Image 6" descr="Angers">
          <a:extLst>
            <a:ext uri="{FF2B5EF4-FFF2-40B4-BE49-F238E27FC236}">
              <a16:creationId xmlns:a16="http://schemas.microsoft.com/office/drawing/2014/main" id="{00000000-0008-0000-0100-000007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60714"/>
        <a:stretch/>
      </xdr:blipFill>
      <xdr:spPr>
        <a:xfrm>
          <a:off x="2806700" y="4089400"/>
          <a:ext cx="474135" cy="139700"/>
        </a:xfrm>
        <a:prstGeom prst="rect">
          <a:avLst/>
        </a:prstGeom>
      </xdr:spPr>
    </xdr:pic>
    <xdr:clientData/>
  </xdr:twoCellAnchor>
  <xdr:twoCellAnchor editAs="oneCell">
    <xdr:from>
      <xdr:col>9</xdr:col>
      <xdr:colOff>380999</xdr:colOff>
      <xdr:row>41</xdr:row>
      <xdr:rowOff>63500</xdr:rowOff>
    </xdr:from>
    <xdr:to>
      <xdr:col>10</xdr:col>
      <xdr:colOff>3175</xdr:colOff>
      <xdr:row>41</xdr:row>
      <xdr:rowOff>190299</xdr:rowOff>
    </xdr:to>
    <xdr:pic>
      <xdr:nvPicPr>
        <xdr:cNvPr id="8" name="Image 7" descr="Bastia">
          <a:extLst>
            <a:ext uri="{FF2B5EF4-FFF2-40B4-BE49-F238E27FC236}">
              <a16:creationId xmlns:a16="http://schemas.microsoft.com/office/drawing/2014/main" id="{00000000-0008-0000-0100-000008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63001" b="-1"/>
        <a:stretch/>
      </xdr:blipFill>
      <xdr:spPr>
        <a:xfrm>
          <a:off x="8267699" y="7366000"/>
          <a:ext cx="431801" cy="126799"/>
        </a:xfrm>
        <a:prstGeom prst="rect">
          <a:avLst/>
        </a:prstGeom>
      </xdr:spPr>
    </xdr:pic>
    <xdr:clientData/>
  </xdr:twoCellAnchor>
  <xdr:twoCellAnchor editAs="oneCell">
    <xdr:from>
      <xdr:col>2</xdr:col>
      <xdr:colOff>520699</xdr:colOff>
      <xdr:row>40</xdr:row>
      <xdr:rowOff>12700</xdr:rowOff>
    </xdr:from>
    <xdr:to>
      <xdr:col>3</xdr:col>
      <xdr:colOff>409849</xdr:colOff>
      <xdr:row>41</xdr:row>
      <xdr:rowOff>38100</xdr:rowOff>
    </xdr:to>
    <xdr:pic>
      <xdr:nvPicPr>
        <xdr:cNvPr id="9" name="Image 8" descr="Bayonne">
          <a:extLst>
            <a:ext uri="{FF2B5EF4-FFF2-40B4-BE49-F238E27FC236}">
              <a16:creationId xmlns:a16="http://schemas.microsoft.com/office/drawing/2014/main" id="{00000000-0008-0000-0100-000009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56757"/>
        <a:stretch/>
      </xdr:blipFill>
      <xdr:spPr>
        <a:xfrm>
          <a:off x="2273299" y="7137400"/>
          <a:ext cx="751843" cy="203200"/>
        </a:xfrm>
        <a:prstGeom prst="rect">
          <a:avLst/>
        </a:prstGeom>
      </xdr:spPr>
    </xdr:pic>
    <xdr:clientData/>
  </xdr:twoCellAnchor>
  <xdr:twoCellAnchor editAs="oneCell">
    <xdr:from>
      <xdr:col>7</xdr:col>
      <xdr:colOff>647700</xdr:colOff>
      <xdr:row>24</xdr:row>
      <xdr:rowOff>8466</xdr:rowOff>
    </xdr:from>
    <xdr:to>
      <xdr:col>8</xdr:col>
      <xdr:colOff>530526</xdr:colOff>
      <xdr:row>24</xdr:row>
      <xdr:rowOff>177799</xdr:rowOff>
    </xdr:to>
    <xdr:pic>
      <xdr:nvPicPr>
        <xdr:cNvPr id="10" name="Image 9" descr="Besançon">
          <a:extLst>
            <a:ext uri="{FF2B5EF4-FFF2-40B4-BE49-F238E27FC236}">
              <a16:creationId xmlns:a16="http://schemas.microsoft.com/office/drawing/2014/main" id="{00000000-0008-0000-0100-00000A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59596"/>
        <a:stretch/>
      </xdr:blipFill>
      <xdr:spPr>
        <a:xfrm>
          <a:off x="6811433" y="4292599"/>
          <a:ext cx="763360" cy="169333"/>
        </a:xfrm>
        <a:prstGeom prst="rect">
          <a:avLst/>
        </a:prstGeom>
      </xdr:spPr>
    </xdr:pic>
    <xdr:clientData/>
  </xdr:twoCellAnchor>
  <xdr:twoCellAnchor editAs="oneCell">
    <xdr:from>
      <xdr:col>4</xdr:col>
      <xdr:colOff>736600</xdr:colOff>
      <xdr:row>22</xdr:row>
      <xdr:rowOff>169334</xdr:rowOff>
    </xdr:from>
    <xdr:to>
      <xdr:col>5</xdr:col>
      <xdr:colOff>241300</xdr:colOff>
      <xdr:row>23</xdr:row>
      <xdr:rowOff>127000</xdr:rowOff>
    </xdr:to>
    <xdr:pic>
      <xdr:nvPicPr>
        <xdr:cNvPr id="11" name="Image 10" descr="Blois">
          <a:extLst>
            <a:ext uri="{FF2B5EF4-FFF2-40B4-BE49-F238E27FC236}">
              <a16:creationId xmlns:a16="http://schemas.microsoft.com/office/drawing/2014/main" id="{00000000-0008-0000-0100-00000B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t="64445"/>
        <a:stretch/>
      </xdr:blipFill>
      <xdr:spPr>
        <a:xfrm>
          <a:off x="4258733" y="4097867"/>
          <a:ext cx="385234" cy="135466"/>
        </a:xfrm>
        <a:prstGeom prst="rect">
          <a:avLst/>
        </a:prstGeom>
      </xdr:spPr>
    </xdr:pic>
    <xdr:clientData/>
  </xdr:twoCellAnchor>
  <xdr:twoCellAnchor editAs="oneCell">
    <xdr:from>
      <xdr:col>3</xdr:col>
      <xdr:colOff>63500</xdr:colOff>
      <xdr:row>32</xdr:row>
      <xdr:rowOff>139700</xdr:rowOff>
    </xdr:from>
    <xdr:to>
      <xdr:col>4</xdr:col>
      <xdr:colOff>3175</xdr:colOff>
      <xdr:row>33</xdr:row>
      <xdr:rowOff>92878</xdr:rowOff>
    </xdr:to>
    <xdr:pic>
      <xdr:nvPicPr>
        <xdr:cNvPr id="12" name="Image 11" descr="Bordeaux">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t="63871"/>
        <a:stretch/>
      </xdr:blipFill>
      <xdr:spPr>
        <a:xfrm>
          <a:off x="2692400" y="5842000"/>
          <a:ext cx="787400" cy="143678"/>
        </a:xfrm>
        <a:prstGeom prst="rect">
          <a:avLst/>
        </a:prstGeom>
      </xdr:spPr>
    </xdr:pic>
    <xdr:clientData/>
  </xdr:twoCellAnchor>
  <xdr:twoCellAnchor editAs="oneCell">
    <xdr:from>
      <xdr:col>1</xdr:col>
      <xdr:colOff>215900</xdr:colOff>
      <xdr:row>18</xdr:row>
      <xdr:rowOff>69850</xdr:rowOff>
    </xdr:from>
    <xdr:to>
      <xdr:col>1</xdr:col>
      <xdr:colOff>624374</xdr:colOff>
      <xdr:row>19</xdr:row>
      <xdr:rowOff>22046</xdr:rowOff>
    </xdr:to>
    <xdr:pic>
      <xdr:nvPicPr>
        <xdr:cNvPr id="13" name="Image 12" descr="Brest">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t="65577"/>
        <a:stretch/>
      </xdr:blipFill>
      <xdr:spPr>
        <a:xfrm>
          <a:off x="1092200" y="3282950"/>
          <a:ext cx="408474" cy="129996"/>
        </a:xfrm>
        <a:prstGeom prst="rect">
          <a:avLst/>
        </a:prstGeom>
      </xdr:spPr>
    </xdr:pic>
    <xdr:clientData/>
  </xdr:twoCellAnchor>
  <xdr:twoCellAnchor editAs="oneCell">
    <xdr:from>
      <xdr:col>3</xdr:col>
      <xdr:colOff>647700</xdr:colOff>
      <xdr:row>15</xdr:row>
      <xdr:rowOff>114300</xdr:rowOff>
    </xdr:from>
    <xdr:to>
      <xdr:col>4</xdr:col>
      <xdr:colOff>177800</xdr:colOff>
      <xdr:row>16</xdr:row>
      <xdr:rowOff>69145</xdr:rowOff>
    </xdr:to>
    <xdr:pic>
      <xdr:nvPicPr>
        <xdr:cNvPr id="15" name="Image 14" descr="Caen">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t="63282" b="-1"/>
        <a:stretch/>
      </xdr:blipFill>
      <xdr:spPr>
        <a:xfrm>
          <a:off x="3276600" y="2794000"/>
          <a:ext cx="406400" cy="132645"/>
        </a:xfrm>
        <a:prstGeom prst="rect">
          <a:avLst/>
        </a:prstGeom>
      </xdr:spPr>
    </xdr:pic>
    <xdr:clientData/>
  </xdr:twoCellAnchor>
  <xdr:twoCellAnchor editAs="oneCell">
    <xdr:from>
      <xdr:col>4</xdr:col>
      <xdr:colOff>761999</xdr:colOff>
      <xdr:row>9</xdr:row>
      <xdr:rowOff>101600</xdr:rowOff>
    </xdr:from>
    <xdr:to>
      <xdr:col>5</xdr:col>
      <xdr:colOff>351712</xdr:colOff>
      <xdr:row>10</xdr:row>
      <xdr:rowOff>50800</xdr:rowOff>
    </xdr:to>
    <xdr:pic>
      <xdr:nvPicPr>
        <xdr:cNvPr id="16" name="Image 15" descr="Calais">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t="65517"/>
        <a:stretch/>
      </xdr:blipFill>
      <xdr:spPr>
        <a:xfrm>
          <a:off x="4267199" y="1714500"/>
          <a:ext cx="466013" cy="127000"/>
        </a:xfrm>
        <a:prstGeom prst="rect">
          <a:avLst/>
        </a:prstGeom>
      </xdr:spPr>
    </xdr:pic>
    <xdr:clientData/>
  </xdr:twoCellAnchor>
  <xdr:twoCellAnchor editAs="oneCell">
    <xdr:from>
      <xdr:col>5</xdr:col>
      <xdr:colOff>253999</xdr:colOff>
      <xdr:row>41</xdr:row>
      <xdr:rowOff>63500</xdr:rowOff>
    </xdr:from>
    <xdr:to>
      <xdr:col>6</xdr:col>
      <xdr:colOff>320548</xdr:colOff>
      <xdr:row>42</xdr:row>
      <xdr:rowOff>12700</xdr:rowOff>
    </xdr:to>
    <xdr:pic>
      <xdr:nvPicPr>
        <xdr:cNvPr id="17" name="Image 16" descr="Carcassonne">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11">
          <a:extLst>
            <a:ext uri="{28A0092B-C50C-407E-A947-70E740481C1C}">
              <a14:useLocalDpi xmlns:a14="http://schemas.microsoft.com/office/drawing/2010/main" val="0"/>
            </a:ext>
          </a:extLst>
        </a:blip>
        <a:srcRect t="62069"/>
        <a:stretch/>
      </xdr:blipFill>
      <xdr:spPr>
        <a:xfrm>
          <a:off x="4635499" y="7366000"/>
          <a:ext cx="942849" cy="139700"/>
        </a:xfrm>
        <a:prstGeom prst="rect">
          <a:avLst/>
        </a:prstGeom>
      </xdr:spPr>
    </xdr:pic>
    <xdr:clientData/>
  </xdr:twoCellAnchor>
  <xdr:twoCellAnchor editAs="oneCell">
    <xdr:from>
      <xdr:col>6</xdr:col>
      <xdr:colOff>533400</xdr:colOff>
      <xdr:row>25</xdr:row>
      <xdr:rowOff>118534</xdr:rowOff>
    </xdr:from>
    <xdr:to>
      <xdr:col>8</xdr:col>
      <xdr:colOff>167640</xdr:colOff>
      <xdr:row>26</xdr:row>
      <xdr:rowOff>63500</xdr:rowOff>
    </xdr:to>
    <xdr:pic>
      <xdr:nvPicPr>
        <xdr:cNvPr id="19" name="Image 18" descr="Châlon-Sur-Saône">
          <a:extLst>
            <a:ext uri="{FF2B5EF4-FFF2-40B4-BE49-F238E27FC236}">
              <a16:creationId xmlns:a16="http://schemas.microsoft.com/office/drawing/2014/main" id="{00000000-0008-0000-0100-000013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t="64445"/>
        <a:stretch/>
      </xdr:blipFill>
      <xdr:spPr>
        <a:xfrm>
          <a:off x="5816600" y="4580467"/>
          <a:ext cx="1395307" cy="135466"/>
        </a:xfrm>
        <a:prstGeom prst="rect">
          <a:avLst/>
        </a:prstGeom>
      </xdr:spPr>
    </xdr:pic>
    <xdr:clientData/>
  </xdr:twoCellAnchor>
  <xdr:twoCellAnchor editAs="oneCell">
    <xdr:from>
      <xdr:col>7</xdr:col>
      <xdr:colOff>711201</xdr:colOff>
      <xdr:row>30</xdr:row>
      <xdr:rowOff>25400</xdr:rowOff>
    </xdr:from>
    <xdr:to>
      <xdr:col>8</xdr:col>
      <xdr:colOff>584200</xdr:colOff>
      <xdr:row>31</xdr:row>
      <xdr:rowOff>586</xdr:rowOff>
    </xdr:to>
    <xdr:pic>
      <xdr:nvPicPr>
        <xdr:cNvPr id="20" name="Image 19" descr="Chambéry">
          <a:extLst>
            <a:ext uri="{FF2B5EF4-FFF2-40B4-BE49-F238E27FC236}">
              <a16:creationId xmlns:a16="http://schemas.microsoft.com/office/drawing/2014/main" id="{00000000-0008-0000-0100-000014000000}"/>
            </a:ext>
          </a:extLst>
        </xdr:cNvPr>
        <xdr:cNvPicPr>
          <a:picLocks noChangeAspect="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t="59908"/>
        <a:stretch/>
      </xdr:blipFill>
      <xdr:spPr>
        <a:xfrm>
          <a:off x="6874934" y="5376333"/>
          <a:ext cx="753533" cy="152986"/>
        </a:xfrm>
        <a:prstGeom prst="rect">
          <a:avLst/>
        </a:prstGeom>
      </xdr:spPr>
    </xdr:pic>
    <xdr:clientData/>
  </xdr:twoCellAnchor>
  <xdr:twoCellAnchor editAs="oneCell">
    <xdr:from>
      <xdr:col>2</xdr:col>
      <xdr:colOff>533400</xdr:colOff>
      <xdr:row>13</xdr:row>
      <xdr:rowOff>139700</xdr:rowOff>
    </xdr:from>
    <xdr:to>
      <xdr:col>3</xdr:col>
      <xdr:colOff>566295</xdr:colOff>
      <xdr:row>14</xdr:row>
      <xdr:rowOff>139700</xdr:rowOff>
    </xdr:to>
    <xdr:pic>
      <xdr:nvPicPr>
        <xdr:cNvPr id="21" name="Image 20" descr="Cherbourg">
          <a:extLst>
            <a:ext uri="{FF2B5EF4-FFF2-40B4-BE49-F238E27FC236}">
              <a16:creationId xmlns:a16="http://schemas.microsoft.com/office/drawing/2014/main" id="{00000000-0008-0000-0100-000015000000}"/>
            </a:ext>
          </a:extLst>
        </xdr:cNvPr>
        <xdr:cNvPicPr>
          <a:picLocks noChangeAspect="1"/>
        </xdr:cNvPicPr>
      </xdr:nvPicPr>
      <xdr:blipFill rotWithShape="1">
        <a:blip xmlns:r="http://schemas.openxmlformats.org/officeDocument/2006/relationships" r:embed="rId14">
          <a:extLst>
            <a:ext uri="{28A0092B-C50C-407E-A947-70E740481C1C}">
              <a14:useLocalDpi xmlns:a14="http://schemas.microsoft.com/office/drawing/2010/main" val="0"/>
            </a:ext>
          </a:extLst>
        </a:blip>
        <a:srcRect t="58824"/>
        <a:stretch/>
      </xdr:blipFill>
      <xdr:spPr>
        <a:xfrm>
          <a:off x="2286000" y="2463800"/>
          <a:ext cx="895588" cy="177800"/>
        </a:xfrm>
        <a:prstGeom prst="rect">
          <a:avLst/>
        </a:prstGeom>
      </xdr:spPr>
    </xdr:pic>
    <xdr:clientData/>
  </xdr:twoCellAnchor>
  <xdr:twoCellAnchor editAs="oneCell">
    <xdr:from>
      <xdr:col>9</xdr:col>
      <xdr:colOff>88900</xdr:colOff>
      <xdr:row>43</xdr:row>
      <xdr:rowOff>25399</xdr:rowOff>
    </xdr:from>
    <xdr:to>
      <xdr:col>9</xdr:col>
      <xdr:colOff>469900</xdr:colOff>
      <xdr:row>43</xdr:row>
      <xdr:rowOff>143710</xdr:rowOff>
    </xdr:to>
    <xdr:pic>
      <xdr:nvPicPr>
        <xdr:cNvPr id="23" name="Image 22" descr="Corte">
          <a:extLst>
            <a:ext uri="{FF2B5EF4-FFF2-40B4-BE49-F238E27FC236}">
              <a16:creationId xmlns:a16="http://schemas.microsoft.com/office/drawing/2014/main" id="{00000000-0008-0000-0100-000017000000}"/>
            </a:ext>
          </a:extLst>
        </xdr:cNvPr>
        <xdr:cNvPicPr>
          <a:picLocks noChangeAspect="1"/>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t="64600"/>
        <a:stretch/>
      </xdr:blipFill>
      <xdr:spPr>
        <a:xfrm>
          <a:off x="7975600" y="7683499"/>
          <a:ext cx="381000" cy="118311"/>
        </a:xfrm>
        <a:prstGeom prst="rect">
          <a:avLst/>
        </a:prstGeom>
      </xdr:spPr>
    </xdr:pic>
    <xdr:clientData/>
  </xdr:twoCellAnchor>
  <xdr:twoCellAnchor editAs="oneCell">
    <xdr:from>
      <xdr:col>5</xdr:col>
      <xdr:colOff>203200</xdr:colOff>
      <xdr:row>7</xdr:row>
      <xdr:rowOff>139700</xdr:rowOff>
    </xdr:from>
    <xdr:to>
      <xdr:col>6</xdr:col>
      <xdr:colOff>318913</xdr:colOff>
      <xdr:row>8</xdr:row>
      <xdr:rowOff>152400</xdr:rowOff>
    </xdr:to>
    <xdr:pic>
      <xdr:nvPicPr>
        <xdr:cNvPr id="32" name="Image 31" descr="Dunkerque">
          <a:extLst>
            <a:ext uri="{FF2B5EF4-FFF2-40B4-BE49-F238E27FC236}">
              <a16:creationId xmlns:a16="http://schemas.microsoft.com/office/drawing/2014/main" id="{00000000-0008-0000-0100-000020000000}"/>
            </a:ext>
          </a:extLst>
        </xdr:cNvPr>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t="59459"/>
        <a:stretch/>
      </xdr:blipFill>
      <xdr:spPr>
        <a:xfrm>
          <a:off x="4584700" y="1384300"/>
          <a:ext cx="992013" cy="190500"/>
        </a:xfrm>
        <a:prstGeom prst="rect">
          <a:avLst/>
        </a:prstGeom>
      </xdr:spPr>
    </xdr:pic>
    <xdr:clientData/>
  </xdr:twoCellAnchor>
  <xdr:twoCellAnchor editAs="oneCell">
    <xdr:from>
      <xdr:col>8</xdr:col>
      <xdr:colOff>482600</xdr:colOff>
      <xdr:row>39</xdr:row>
      <xdr:rowOff>50800</xdr:rowOff>
    </xdr:from>
    <xdr:to>
      <xdr:col>9</xdr:col>
      <xdr:colOff>38100</xdr:colOff>
      <xdr:row>40</xdr:row>
      <xdr:rowOff>22469</xdr:rowOff>
    </xdr:to>
    <xdr:pic>
      <xdr:nvPicPr>
        <xdr:cNvPr id="33" name="Image 32" descr="Fréjus">
          <a:extLst>
            <a:ext uri="{FF2B5EF4-FFF2-40B4-BE49-F238E27FC236}">
              <a16:creationId xmlns:a16="http://schemas.microsoft.com/office/drawing/2014/main" id="{00000000-0008-0000-0100-000021000000}"/>
            </a:ext>
          </a:extLst>
        </xdr:cNvPr>
        <xdr:cNvPicPr>
          <a:picLocks noChangeAspect="1"/>
        </xdr:cNvPicPr>
      </xdr:nvPicPr>
      <xdr:blipFill rotWithShape="1">
        <a:blip xmlns:r="http://schemas.openxmlformats.org/officeDocument/2006/relationships" r:embed="rId17">
          <a:extLst>
            <a:ext uri="{28A0092B-C50C-407E-A947-70E740481C1C}">
              <a14:useLocalDpi xmlns:a14="http://schemas.microsoft.com/office/drawing/2010/main" val="0"/>
            </a:ext>
          </a:extLst>
        </a:blip>
        <a:srcRect t="59091"/>
        <a:stretch/>
      </xdr:blipFill>
      <xdr:spPr>
        <a:xfrm>
          <a:off x="7493000" y="6997700"/>
          <a:ext cx="431800" cy="149469"/>
        </a:xfrm>
        <a:prstGeom prst="rect">
          <a:avLst/>
        </a:prstGeom>
      </xdr:spPr>
    </xdr:pic>
    <xdr:clientData/>
  </xdr:twoCellAnchor>
  <xdr:twoCellAnchor editAs="oneCell">
    <xdr:from>
      <xdr:col>7</xdr:col>
      <xdr:colOff>507999</xdr:colOff>
      <xdr:row>32</xdr:row>
      <xdr:rowOff>101600</xdr:rowOff>
    </xdr:from>
    <xdr:to>
      <xdr:col>8</xdr:col>
      <xdr:colOff>228600</xdr:colOff>
      <xdr:row>33</xdr:row>
      <xdr:rowOff>25400</xdr:rowOff>
    </xdr:to>
    <xdr:pic>
      <xdr:nvPicPr>
        <xdr:cNvPr id="34" name="Image 33" descr="Grenoble">
          <a:extLst>
            <a:ext uri="{FF2B5EF4-FFF2-40B4-BE49-F238E27FC236}">
              <a16:creationId xmlns:a16="http://schemas.microsoft.com/office/drawing/2014/main" id="{00000000-0008-0000-0100-000022000000}"/>
            </a:ext>
          </a:extLst>
        </xdr:cNvPr>
        <xdr:cNvPicPr>
          <a:picLocks noChangeAspect="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t="64000"/>
        <a:stretch/>
      </xdr:blipFill>
      <xdr:spPr>
        <a:xfrm>
          <a:off x="6671732" y="5808133"/>
          <a:ext cx="601135" cy="114300"/>
        </a:xfrm>
        <a:prstGeom prst="rect">
          <a:avLst/>
        </a:prstGeom>
      </xdr:spPr>
    </xdr:pic>
    <xdr:clientData/>
  </xdr:twoCellAnchor>
  <xdr:twoCellAnchor editAs="oneCell">
    <xdr:from>
      <xdr:col>3</xdr:col>
      <xdr:colOff>774700</xdr:colOff>
      <xdr:row>13</xdr:row>
      <xdr:rowOff>101600</xdr:rowOff>
    </xdr:from>
    <xdr:to>
      <xdr:col>4</xdr:col>
      <xdr:colOff>661696</xdr:colOff>
      <xdr:row>14</xdr:row>
      <xdr:rowOff>63500</xdr:rowOff>
    </xdr:to>
    <xdr:pic>
      <xdr:nvPicPr>
        <xdr:cNvPr id="62" name="Image 61" descr="Le Havre">
          <a:extLst>
            <a:ext uri="{FF2B5EF4-FFF2-40B4-BE49-F238E27FC236}">
              <a16:creationId xmlns:a16="http://schemas.microsoft.com/office/drawing/2014/main" id="{00000000-0008-0000-0100-00003E000000}"/>
            </a:ext>
          </a:extLst>
        </xdr:cNvPr>
        <xdr:cNvPicPr>
          <a:picLocks noChangeAspect="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t="64516"/>
        <a:stretch/>
      </xdr:blipFill>
      <xdr:spPr>
        <a:xfrm>
          <a:off x="3403600" y="2425700"/>
          <a:ext cx="763296" cy="139700"/>
        </a:xfrm>
        <a:prstGeom prst="rect">
          <a:avLst/>
        </a:prstGeom>
      </xdr:spPr>
    </xdr:pic>
    <xdr:clientData/>
  </xdr:twoCellAnchor>
  <xdr:twoCellAnchor editAs="oneCell">
    <xdr:from>
      <xdr:col>3</xdr:col>
      <xdr:colOff>609600</xdr:colOff>
      <xdr:row>21</xdr:row>
      <xdr:rowOff>76200</xdr:rowOff>
    </xdr:from>
    <xdr:to>
      <xdr:col>4</xdr:col>
      <xdr:colOff>326314</xdr:colOff>
      <xdr:row>22</xdr:row>
      <xdr:rowOff>12699</xdr:rowOff>
    </xdr:to>
    <xdr:pic>
      <xdr:nvPicPr>
        <xdr:cNvPr id="63" name="Image 62" descr="Le Mans">
          <a:extLst>
            <a:ext uri="{FF2B5EF4-FFF2-40B4-BE49-F238E27FC236}">
              <a16:creationId xmlns:a16="http://schemas.microsoft.com/office/drawing/2014/main" id="{00000000-0008-0000-0100-00003F000000}"/>
            </a:ext>
          </a:extLst>
        </xdr:cNvPr>
        <xdr:cNvPicPr>
          <a:picLocks noChangeAspect="1"/>
        </xdr:cNvPicPr>
      </xdr:nvPicPr>
      <xdr:blipFill rotWithShape="1">
        <a:blip xmlns:r="http://schemas.openxmlformats.org/officeDocument/2006/relationships" r:embed="rId20">
          <a:extLst>
            <a:ext uri="{28A0092B-C50C-407E-A947-70E740481C1C}">
              <a14:useLocalDpi xmlns:a14="http://schemas.microsoft.com/office/drawing/2010/main" val="0"/>
            </a:ext>
          </a:extLst>
        </a:blip>
        <a:srcRect t="67857"/>
        <a:stretch/>
      </xdr:blipFill>
      <xdr:spPr>
        <a:xfrm>
          <a:off x="3251200" y="3826933"/>
          <a:ext cx="597247" cy="114299"/>
        </a:xfrm>
        <a:prstGeom prst="rect">
          <a:avLst/>
        </a:prstGeom>
      </xdr:spPr>
    </xdr:pic>
    <xdr:clientData/>
  </xdr:twoCellAnchor>
  <xdr:twoCellAnchor editAs="oneCell">
    <xdr:from>
      <xdr:col>5</xdr:col>
      <xdr:colOff>584200</xdr:colOff>
      <xdr:row>10</xdr:row>
      <xdr:rowOff>19050</xdr:rowOff>
    </xdr:from>
    <xdr:to>
      <xdr:col>6</xdr:col>
      <xdr:colOff>50800</xdr:colOff>
      <xdr:row>10</xdr:row>
      <xdr:rowOff>152399</xdr:rowOff>
    </xdr:to>
    <xdr:pic>
      <xdr:nvPicPr>
        <xdr:cNvPr id="320" name="Image 319" descr="Lille">
          <a:extLst>
            <a:ext uri="{FF2B5EF4-FFF2-40B4-BE49-F238E27FC236}">
              <a16:creationId xmlns:a16="http://schemas.microsoft.com/office/drawing/2014/main" id="{00000000-0008-0000-0100-000040010000}"/>
            </a:ext>
          </a:extLst>
        </xdr:cNvPr>
        <xdr:cNvPicPr>
          <a:picLocks noChangeAspect="1"/>
        </xdr:cNvPicPr>
      </xdr:nvPicPr>
      <xdr:blipFill rotWithShape="1">
        <a:blip xmlns:r="http://schemas.openxmlformats.org/officeDocument/2006/relationships" r:embed="rId21">
          <a:extLst>
            <a:ext uri="{28A0092B-C50C-407E-A947-70E740481C1C}">
              <a14:useLocalDpi xmlns:a14="http://schemas.microsoft.com/office/drawing/2010/main" val="0"/>
            </a:ext>
          </a:extLst>
        </a:blip>
        <a:srcRect t="65001" b="-1"/>
        <a:stretch/>
      </xdr:blipFill>
      <xdr:spPr>
        <a:xfrm>
          <a:off x="4965700" y="1809750"/>
          <a:ext cx="342900" cy="133349"/>
        </a:xfrm>
        <a:prstGeom prst="rect">
          <a:avLst/>
        </a:prstGeom>
      </xdr:spPr>
    </xdr:pic>
    <xdr:clientData/>
  </xdr:twoCellAnchor>
  <xdr:twoCellAnchor editAs="oneCell">
    <xdr:from>
      <xdr:col>7</xdr:col>
      <xdr:colOff>254000</xdr:colOff>
      <xdr:row>29</xdr:row>
      <xdr:rowOff>152400</xdr:rowOff>
    </xdr:from>
    <xdr:to>
      <xdr:col>7</xdr:col>
      <xdr:colOff>622300</xdr:colOff>
      <xdr:row>30</xdr:row>
      <xdr:rowOff>131482</xdr:rowOff>
    </xdr:to>
    <xdr:pic>
      <xdr:nvPicPr>
        <xdr:cNvPr id="321" name="Image 320" descr="Lyon">
          <a:extLst>
            <a:ext uri="{FF2B5EF4-FFF2-40B4-BE49-F238E27FC236}">
              <a16:creationId xmlns:a16="http://schemas.microsoft.com/office/drawing/2014/main" id="{00000000-0008-0000-0100-000041010000}"/>
            </a:ext>
          </a:extLst>
        </xdr:cNvPr>
        <xdr:cNvPicPr>
          <a:picLocks noChangeAspect="1"/>
        </xdr:cNvPicPr>
      </xdr:nvPicPr>
      <xdr:blipFill rotWithShape="1">
        <a:blip xmlns:r="http://schemas.openxmlformats.org/officeDocument/2006/relationships" r:embed="rId22">
          <a:extLst>
            <a:ext uri="{28A0092B-C50C-407E-A947-70E740481C1C}">
              <a14:useLocalDpi xmlns:a14="http://schemas.microsoft.com/office/drawing/2010/main" val="0"/>
            </a:ext>
          </a:extLst>
        </a:blip>
        <a:srcRect t="61818"/>
        <a:stretch/>
      </xdr:blipFill>
      <xdr:spPr>
        <a:xfrm>
          <a:off x="6417733" y="5325533"/>
          <a:ext cx="368300" cy="156882"/>
        </a:xfrm>
        <a:prstGeom prst="rect">
          <a:avLst/>
        </a:prstGeom>
      </xdr:spPr>
    </xdr:pic>
    <xdr:clientData/>
  </xdr:twoCellAnchor>
  <xdr:twoCellAnchor editAs="oneCell">
    <xdr:from>
      <xdr:col>7</xdr:col>
      <xdr:colOff>457199</xdr:colOff>
      <xdr:row>40</xdr:row>
      <xdr:rowOff>152400</xdr:rowOff>
    </xdr:from>
    <xdr:to>
      <xdr:col>8</xdr:col>
      <xdr:colOff>256540</xdr:colOff>
      <xdr:row>41</xdr:row>
      <xdr:rowOff>101600</xdr:rowOff>
    </xdr:to>
    <xdr:pic>
      <xdr:nvPicPr>
        <xdr:cNvPr id="322" name="Image 321" descr="Marseille">
          <a:extLst>
            <a:ext uri="{FF2B5EF4-FFF2-40B4-BE49-F238E27FC236}">
              <a16:creationId xmlns:a16="http://schemas.microsoft.com/office/drawing/2014/main" id="{00000000-0008-0000-0100-000042010000}"/>
            </a:ext>
          </a:extLst>
        </xdr:cNvPr>
        <xdr:cNvPicPr>
          <a:picLocks noChangeAspect="1"/>
        </xdr:cNvPicPr>
      </xdr:nvPicPr>
      <xdr:blipFill rotWithShape="1">
        <a:blip xmlns:r="http://schemas.openxmlformats.org/officeDocument/2006/relationships" r:embed="rId23">
          <a:extLst>
            <a:ext uri="{28A0092B-C50C-407E-A947-70E740481C1C}">
              <a14:useLocalDpi xmlns:a14="http://schemas.microsoft.com/office/drawing/2010/main" val="0"/>
            </a:ext>
          </a:extLst>
        </a:blip>
        <a:srcRect t="64286"/>
        <a:stretch/>
      </xdr:blipFill>
      <xdr:spPr>
        <a:xfrm>
          <a:off x="6591299" y="7277100"/>
          <a:ext cx="675641" cy="127000"/>
        </a:xfrm>
        <a:prstGeom prst="rect">
          <a:avLst/>
        </a:prstGeom>
      </xdr:spPr>
    </xdr:pic>
    <xdr:clientData/>
  </xdr:twoCellAnchor>
  <xdr:twoCellAnchor editAs="oneCell">
    <xdr:from>
      <xdr:col>5</xdr:col>
      <xdr:colOff>863599</xdr:colOff>
      <xdr:row>17</xdr:row>
      <xdr:rowOff>67734</xdr:rowOff>
    </xdr:from>
    <xdr:to>
      <xdr:col>6</xdr:col>
      <xdr:colOff>440870</xdr:colOff>
      <xdr:row>17</xdr:row>
      <xdr:rowOff>177799</xdr:rowOff>
    </xdr:to>
    <xdr:pic>
      <xdr:nvPicPr>
        <xdr:cNvPr id="336" name="Image 335" descr="Meaux">
          <a:extLst>
            <a:ext uri="{FF2B5EF4-FFF2-40B4-BE49-F238E27FC236}">
              <a16:creationId xmlns:a16="http://schemas.microsoft.com/office/drawing/2014/main" id="{00000000-0008-0000-0100-000050010000}"/>
            </a:ext>
          </a:extLst>
        </xdr:cNvPr>
        <xdr:cNvPicPr>
          <a:picLocks noChangeAspect="1"/>
        </xdr:cNvPicPr>
      </xdr:nvPicPr>
      <xdr:blipFill rotWithShape="1">
        <a:blip xmlns:r="http://schemas.openxmlformats.org/officeDocument/2006/relationships" r:embed="rId24">
          <a:extLst>
            <a:ext uri="{28A0092B-C50C-407E-A947-70E740481C1C}">
              <a14:useLocalDpi xmlns:a14="http://schemas.microsoft.com/office/drawing/2010/main" val="0"/>
            </a:ext>
          </a:extLst>
        </a:blip>
        <a:srcRect t="65334"/>
        <a:stretch/>
      </xdr:blipFill>
      <xdr:spPr>
        <a:xfrm>
          <a:off x="5266266" y="3107267"/>
          <a:ext cx="457804" cy="110065"/>
        </a:xfrm>
        <a:prstGeom prst="rect">
          <a:avLst/>
        </a:prstGeom>
      </xdr:spPr>
    </xdr:pic>
    <xdr:clientData/>
  </xdr:twoCellAnchor>
  <xdr:twoCellAnchor editAs="oneCell">
    <xdr:from>
      <xdr:col>5</xdr:col>
      <xdr:colOff>571500</xdr:colOff>
      <xdr:row>19</xdr:row>
      <xdr:rowOff>84666</xdr:rowOff>
    </xdr:from>
    <xdr:to>
      <xdr:col>6</xdr:col>
      <xdr:colOff>165100</xdr:colOff>
      <xdr:row>20</xdr:row>
      <xdr:rowOff>24031</xdr:rowOff>
    </xdr:to>
    <xdr:pic>
      <xdr:nvPicPr>
        <xdr:cNvPr id="337" name="Image 336" descr="Melun">
          <a:extLst>
            <a:ext uri="{FF2B5EF4-FFF2-40B4-BE49-F238E27FC236}">
              <a16:creationId xmlns:a16="http://schemas.microsoft.com/office/drawing/2014/main" id="{00000000-0008-0000-0100-000051010000}"/>
            </a:ext>
          </a:extLst>
        </xdr:cNvPr>
        <xdr:cNvPicPr>
          <a:picLocks noChangeAspect="1"/>
        </xdr:cNvPicPr>
      </xdr:nvPicPr>
      <xdr:blipFill rotWithShape="1">
        <a:blip xmlns:r="http://schemas.openxmlformats.org/officeDocument/2006/relationships" r:embed="rId25">
          <a:extLst>
            <a:ext uri="{28A0092B-C50C-407E-A947-70E740481C1C}">
              <a14:useLocalDpi xmlns:a14="http://schemas.microsoft.com/office/drawing/2010/main" val="0"/>
            </a:ext>
          </a:extLst>
        </a:blip>
        <a:srcRect t="66924"/>
        <a:stretch/>
      </xdr:blipFill>
      <xdr:spPr>
        <a:xfrm>
          <a:off x="4974167" y="3479799"/>
          <a:ext cx="474133" cy="117165"/>
        </a:xfrm>
        <a:prstGeom prst="rect">
          <a:avLst/>
        </a:prstGeom>
      </xdr:spPr>
    </xdr:pic>
    <xdr:clientData/>
  </xdr:twoCellAnchor>
  <xdr:twoCellAnchor editAs="oneCell">
    <xdr:from>
      <xdr:col>7</xdr:col>
      <xdr:colOff>863600</xdr:colOff>
      <xdr:row>15</xdr:row>
      <xdr:rowOff>0</xdr:rowOff>
    </xdr:from>
    <xdr:to>
      <xdr:col>8</xdr:col>
      <xdr:colOff>342900</xdr:colOff>
      <xdr:row>15</xdr:row>
      <xdr:rowOff>125755</xdr:rowOff>
    </xdr:to>
    <xdr:pic>
      <xdr:nvPicPr>
        <xdr:cNvPr id="338" name="Image 337" descr="Metz">
          <a:extLst>
            <a:ext uri="{FF2B5EF4-FFF2-40B4-BE49-F238E27FC236}">
              <a16:creationId xmlns:a16="http://schemas.microsoft.com/office/drawing/2014/main" id="{00000000-0008-0000-0100-000052010000}"/>
            </a:ext>
          </a:extLst>
        </xdr:cNvPr>
        <xdr:cNvPicPr>
          <a:picLocks noChangeAspect="1"/>
        </xdr:cNvPicPr>
      </xdr:nvPicPr>
      <xdr:blipFill rotWithShape="1">
        <a:blip xmlns:r="http://schemas.openxmlformats.org/officeDocument/2006/relationships" r:embed="rId26">
          <a:extLst>
            <a:ext uri="{28A0092B-C50C-407E-A947-70E740481C1C}">
              <a14:useLocalDpi xmlns:a14="http://schemas.microsoft.com/office/drawing/2010/main" val="0"/>
            </a:ext>
          </a:extLst>
        </a:blip>
        <a:srcRect t="63193"/>
        <a:stretch/>
      </xdr:blipFill>
      <xdr:spPr>
        <a:xfrm>
          <a:off x="7027333" y="2683933"/>
          <a:ext cx="359834" cy="125755"/>
        </a:xfrm>
        <a:prstGeom prst="rect">
          <a:avLst/>
        </a:prstGeom>
      </xdr:spPr>
    </xdr:pic>
    <xdr:clientData/>
  </xdr:twoCellAnchor>
  <xdr:twoCellAnchor editAs="oneCell">
    <xdr:from>
      <xdr:col>7</xdr:col>
      <xdr:colOff>812799</xdr:colOff>
      <xdr:row>21</xdr:row>
      <xdr:rowOff>135466</xdr:rowOff>
    </xdr:from>
    <xdr:to>
      <xdr:col>9</xdr:col>
      <xdr:colOff>3048</xdr:colOff>
      <xdr:row>22</xdr:row>
      <xdr:rowOff>88899</xdr:rowOff>
    </xdr:to>
    <xdr:pic>
      <xdr:nvPicPr>
        <xdr:cNvPr id="339" name="Image 338" descr="Montbéliard">
          <a:extLst>
            <a:ext uri="{FF2B5EF4-FFF2-40B4-BE49-F238E27FC236}">
              <a16:creationId xmlns:a16="http://schemas.microsoft.com/office/drawing/2014/main" id="{00000000-0008-0000-0100-000053010000}"/>
            </a:ext>
          </a:extLst>
        </xdr:cNvPr>
        <xdr:cNvPicPr>
          <a:picLocks noChangeAspect="1"/>
        </xdr:cNvPicPr>
      </xdr:nvPicPr>
      <xdr:blipFill rotWithShape="1">
        <a:blip xmlns:r="http://schemas.openxmlformats.org/officeDocument/2006/relationships" r:embed="rId27">
          <a:extLst>
            <a:ext uri="{28A0092B-C50C-407E-A947-70E740481C1C}">
              <a14:useLocalDpi xmlns:a14="http://schemas.microsoft.com/office/drawing/2010/main" val="0"/>
            </a:ext>
          </a:extLst>
        </a:blip>
        <a:srcRect t="64368"/>
        <a:stretch/>
      </xdr:blipFill>
      <xdr:spPr>
        <a:xfrm>
          <a:off x="6976532" y="3886199"/>
          <a:ext cx="951316" cy="131233"/>
        </a:xfrm>
        <a:prstGeom prst="rect">
          <a:avLst/>
        </a:prstGeom>
      </xdr:spPr>
    </xdr:pic>
    <xdr:clientData/>
  </xdr:twoCellAnchor>
  <xdr:twoCellAnchor editAs="oneCell">
    <xdr:from>
      <xdr:col>6</xdr:col>
      <xdr:colOff>330200</xdr:colOff>
      <xdr:row>39</xdr:row>
      <xdr:rowOff>152400</xdr:rowOff>
    </xdr:from>
    <xdr:to>
      <xdr:col>7</xdr:col>
      <xdr:colOff>236684</xdr:colOff>
      <xdr:row>40</xdr:row>
      <xdr:rowOff>127000</xdr:rowOff>
    </xdr:to>
    <xdr:pic>
      <xdr:nvPicPr>
        <xdr:cNvPr id="340" name="Image 339" descr="Montpelier">
          <a:extLst>
            <a:ext uri="{FF2B5EF4-FFF2-40B4-BE49-F238E27FC236}">
              <a16:creationId xmlns:a16="http://schemas.microsoft.com/office/drawing/2014/main" id="{00000000-0008-0000-0100-000054010000}"/>
            </a:ext>
          </a:extLst>
        </xdr:cNvPr>
        <xdr:cNvPicPr>
          <a:picLocks noChangeAspect="1"/>
        </xdr:cNvPicPr>
      </xdr:nvPicPr>
      <xdr:blipFill rotWithShape="1">
        <a:blip xmlns:r="http://schemas.openxmlformats.org/officeDocument/2006/relationships" r:embed="rId28">
          <a:extLst>
            <a:ext uri="{28A0092B-C50C-407E-A947-70E740481C1C}">
              <a14:useLocalDpi xmlns:a14="http://schemas.microsoft.com/office/drawing/2010/main" val="0"/>
            </a:ext>
          </a:extLst>
        </a:blip>
        <a:srcRect t="58620"/>
        <a:stretch/>
      </xdr:blipFill>
      <xdr:spPr>
        <a:xfrm>
          <a:off x="5588000" y="7099300"/>
          <a:ext cx="782784" cy="152400"/>
        </a:xfrm>
        <a:prstGeom prst="rect">
          <a:avLst/>
        </a:prstGeom>
      </xdr:spPr>
    </xdr:pic>
    <xdr:clientData/>
  </xdr:twoCellAnchor>
  <xdr:twoCellAnchor editAs="oneCell">
    <xdr:from>
      <xdr:col>7</xdr:col>
      <xdr:colOff>850899</xdr:colOff>
      <xdr:row>17</xdr:row>
      <xdr:rowOff>67734</xdr:rowOff>
    </xdr:from>
    <xdr:to>
      <xdr:col>8</xdr:col>
      <xdr:colOff>417924</xdr:colOff>
      <xdr:row>18</xdr:row>
      <xdr:rowOff>38100</xdr:rowOff>
    </xdr:to>
    <xdr:pic>
      <xdr:nvPicPr>
        <xdr:cNvPr id="341" name="Image 340" descr="Nancy">
          <a:extLst>
            <a:ext uri="{FF2B5EF4-FFF2-40B4-BE49-F238E27FC236}">
              <a16:creationId xmlns:a16="http://schemas.microsoft.com/office/drawing/2014/main" id="{00000000-0008-0000-0100-000055010000}"/>
            </a:ext>
          </a:extLst>
        </xdr:cNvPr>
        <xdr:cNvPicPr>
          <a:picLocks noChangeAspect="1"/>
        </xdr:cNvPicPr>
      </xdr:nvPicPr>
      <xdr:blipFill rotWithShape="1">
        <a:blip xmlns:r="http://schemas.openxmlformats.org/officeDocument/2006/relationships" r:embed="rId29">
          <a:extLst>
            <a:ext uri="{28A0092B-C50C-407E-A947-70E740481C1C}">
              <a14:useLocalDpi xmlns:a14="http://schemas.microsoft.com/office/drawing/2010/main" val="0"/>
            </a:ext>
          </a:extLst>
        </a:blip>
        <a:srcRect t="59770"/>
        <a:stretch/>
      </xdr:blipFill>
      <xdr:spPr>
        <a:xfrm>
          <a:off x="7014632" y="3107267"/>
          <a:ext cx="447559" cy="148166"/>
        </a:xfrm>
        <a:prstGeom prst="rect">
          <a:avLst/>
        </a:prstGeom>
      </xdr:spPr>
    </xdr:pic>
    <xdr:clientData/>
  </xdr:twoCellAnchor>
  <xdr:twoCellAnchor editAs="oneCell">
    <xdr:from>
      <xdr:col>2</xdr:col>
      <xdr:colOff>647700</xdr:colOff>
      <xdr:row>24</xdr:row>
      <xdr:rowOff>63500</xdr:rowOff>
    </xdr:from>
    <xdr:to>
      <xdr:col>3</xdr:col>
      <xdr:colOff>285749</xdr:colOff>
      <xdr:row>25</xdr:row>
      <xdr:rowOff>12700</xdr:rowOff>
    </xdr:to>
    <xdr:pic>
      <xdr:nvPicPr>
        <xdr:cNvPr id="342" name="Image 341" descr="Nantes">
          <a:extLst>
            <a:ext uri="{FF2B5EF4-FFF2-40B4-BE49-F238E27FC236}">
              <a16:creationId xmlns:a16="http://schemas.microsoft.com/office/drawing/2014/main" id="{00000000-0008-0000-0100-000056010000}"/>
            </a:ext>
          </a:extLst>
        </xdr:cNvPr>
        <xdr:cNvPicPr>
          <a:picLocks noChangeAspect="1"/>
        </xdr:cNvPicPr>
      </xdr:nvPicPr>
      <xdr:blipFill rotWithShape="1">
        <a:blip xmlns:r="http://schemas.openxmlformats.org/officeDocument/2006/relationships" r:embed="rId30">
          <a:extLst>
            <a:ext uri="{28A0092B-C50C-407E-A947-70E740481C1C}">
              <a14:useLocalDpi xmlns:a14="http://schemas.microsoft.com/office/drawing/2010/main" val="0"/>
            </a:ext>
          </a:extLst>
        </a:blip>
        <a:srcRect t="64286"/>
        <a:stretch/>
      </xdr:blipFill>
      <xdr:spPr>
        <a:xfrm>
          <a:off x="2400300" y="4343400"/>
          <a:ext cx="500742" cy="127000"/>
        </a:xfrm>
        <a:prstGeom prst="rect">
          <a:avLst/>
        </a:prstGeom>
      </xdr:spPr>
    </xdr:pic>
    <xdr:clientData/>
  </xdr:twoCellAnchor>
  <xdr:twoCellAnchor editAs="oneCell">
    <xdr:from>
      <xdr:col>9</xdr:col>
      <xdr:colOff>59267</xdr:colOff>
      <xdr:row>38</xdr:row>
      <xdr:rowOff>50800</xdr:rowOff>
    </xdr:from>
    <xdr:to>
      <xdr:col>9</xdr:col>
      <xdr:colOff>352553</xdr:colOff>
      <xdr:row>38</xdr:row>
      <xdr:rowOff>165099</xdr:rowOff>
    </xdr:to>
    <xdr:pic>
      <xdr:nvPicPr>
        <xdr:cNvPr id="343" name="Image 342" descr="Nice">
          <a:extLst>
            <a:ext uri="{FF2B5EF4-FFF2-40B4-BE49-F238E27FC236}">
              <a16:creationId xmlns:a16="http://schemas.microsoft.com/office/drawing/2014/main" id="{00000000-0008-0000-0100-000057010000}"/>
            </a:ext>
          </a:extLst>
        </xdr:cNvPr>
        <xdr:cNvPicPr>
          <a:picLocks noChangeAspect="1"/>
        </xdr:cNvPicPr>
      </xdr:nvPicPr>
      <xdr:blipFill rotWithShape="1">
        <a:blip xmlns:r="http://schemas.openxmlformats.org/officeDocument/2006/relationships" r:embed="rId31">
          <a:extLst>
            <a:ext uri="{28A0092B-C50C-407E-A947-70E740481C1C}">
              <a14:useLocalDpi xmlns:a14="http://schemas.microsoft.com/office/drawing/2010/main" val="0"/>
            </a:ext>
          </a:extLst>
        </a:blip>
        <a:srcRect l="2806" t="66667"/>
        <a:stretch/>
      </xdr:blipFill>
      <xdr:spPr>
        <a:xfrm>
          <a:off x="7945967" y="6819900"/>
          <a:ext cx="293286" cy="114299"/>
        </a:xfrm>
        <a:prstGeom prst="rect">
          <a:avLst/>
        </a:prstGeom>
      </xdr:spPr>
    </xdr:pic>
    <xdr:clientData/>
  </xdr:twoCellAnchor>
  <xdr:twoCellAnchor editAs="oneCell">
    <xdr:from>
      <xdr:col>5</xdr:col>
      <xdr:colOff>12700</xdr:colOff>
      <xdr:row>20</xdr:row>
      <xdr:rowOff>127000</xdr:rowOff>
    </xdr:from>
    <xdr:to>
      <xdr:col>5</xdr:col>
      <xdr:colOff>565539</xdr:colOff>
      <xdr:row>21</xdr:row>
      <xdr:rowOff>76200</xdr:rowOff>
    </xdr:to>
    <xdr:pic>
      <xdr:nvPicPr>
        <xdr:cNvPr id="344" name="Image 343" descr="Orléans">
          <a:extLst>
            <a:ext uri="{FF2B5EF4-FFF2-40B4-BE49-F238E27FC236}">
              <a16:creationId xmlns:a16="http://schemas.microsoft.com/office/drawing/2014/main" id="{00000000-0008-0000-0100-000058010000}"/>
            </a:ext>
          </a:extLst>
        </xdr:cNvPr>
        <xdr:cNvPicPr>
          <a:picLocks noChangeAspect="1"/>
        </xdr:cNvPicPr>
      </xdr:nvPicPr>
      <xdr:blipFill rotWithShape="1">
        <a:blip xmlns:r="http://schemas.openxmlformats.org/officeDocument/2006/relationships" r:embed="rId32">
          <a:extLst>
            <a:ext uri="{28A0092B-C50C-407E-A947-70E740481C1C}">
              <a14:useLocalDpi xmlns:a14="http://schemas.microsoft.com/office/drawing/2010/main" val="0"/>
            </a:ext>
          </a:extLst>
        </a:blip>
        <a:srcRect t="62963"/>
        <a:stretch/>
      </xdr:blipFill>
      <xdr:spPr>
        <a:xfrm>
          <a:off x="4415367" y="3699933"/>
          <a:ext cx="552839" cy="127000"/>
        </a:xfrm>
        <a:prstGeom prst="rect">
          <a:avLst/>
        </a:prstGeom>
      </xdr:spPr>
    </xdr:pic>
    <xdr:clientData/>
  </xdr:twoCellAnchor>
  <xdr:twoCellAnchor editAs="oneCell">
    <xdr:from>
      <xdr:col>5</xdr:col>
      <xdr:colOff>393700</xdr:colOff>
      <xdr:row>17</xdr:row>
      <xdr:rowOff>50800</xdr:rowOff>
    </xdr:from>
    <xdr:to>
      <xdr:col>6</xdr:col>
      <xdr:colOff>3175</xdr:colOff>
      <xdr:row>18</xdr:row>
      <xdr:rowOff>13922</xdr:rowOff>
    </xdr:to>
    <xdr:pic>
      <xdr:nvPicPr>
        <xdr:cNvPr id="345" name="Image 344" descr="Paris">
          <a:extLst>
            <a:ext uri="{FF2B5EF4-FFF2-40B4-BE49-F238E27FC236}">
              <a16:creationId xmlns:a16="http://schemas.microsoft.com/office/drawing/2014/main" id="{00000000-0008-0000-0100-000059010000}"/>
            </a:ext>
          </a:extLst>
        </xdr:cNvPr>
        <xdr:cNvPicPr>
          <a:picLocks noChangeAspect="1"/>
        </xdr:cNvPicPr>
      </xdr:nvPicPr>
      <xdr:blipFill rotWithShape="1">
        <a:blip xmlns:r="http://schemas.openxmlformats.org/officeDocument/2006/relationships" r:embed="rId33">
          <a:extLst>
            <a:ext uri="{28A0092B-C50C-407E-A947-70E740481C1C}">
              <a14:useLocalDpi xmlns:a14="http://schemas.microsoft.com/office/drawing/2010/main" val="0"/>
            </a:ext>
          </a:extLst>
        </a:blip>
        <a:srcRect t="64316"/>
        <a:stretch/>
      </xdr:blipFill>
      <xdr:spPr>
        <a:xfrm>
          <a:off x="4796367" y="3090333"/>
          <a:ext cx="419100" cy="140922"/>
        </a:xfrm>
        <a:prstGeom prst="rect">
          <a:avLst/>
        </a:prstGeom>
      </xdr:spPr>
    </xdr:pic>
    <xdr:clientData/>
  </xdr:twoCellAnchor>
  <xdr:twoCellAnchor editAs="oneCell">
    <xdr:from>
      <xdr:col>3</xdr:col>
      <xdr:colOff>457200</xdr:colOff>
      <xdr:row>39</xdr:row>
      <xdr:rowOff>133350</xdr:rowOff>
    </xdr:from>
    <xdr:to>
      <xdr:col>4</xdr:col>
      <xdr:colOff>3175</xdr:colOff>
      <xdr:row>40</xdr:row>
      <xdr:rowOff>102252</xdr:rowOff>
    </xdr:to>
    <xdr:pic>
      <xdr:nvPicPr>
        <xdr:cNvPr id="346" name="Image 345" descr="Pau">
          <a:extLst>
            <a:ext uri="{FF2B5EF4-FFF2-40B4-BE49-F238E27FC236}">
              <a16:creationId xmlns:a16="http://schemas.microsoft.com/office/drawing/2014/main" id="{00000000-0008-0000-0100-00005A010000}"/>
            </a:ext>
          </a:extLst>
        </xdr:cNvPr>
        <xdr:cNvPicPr>
          <a:picLocks noChangeAspect="1"/>
        </xdr:cNvPicPr>
      </xdr:nvPicPr>
      <xdr:blipFill rotWithShape="1">
        <a:blip xmlns:r="http://schemas.openxmlformats.org/officeDocument/2006/relationships" r:embed="rId34">
          <a:extLst>
            <a:ext uri="{28A0092B-C50C-407E-A947-70E740481C1C}">
              <a14:useLocalDpi xmlns:a14="http://schemas.microsoft.com/office/drawing/2010/main" val="0"/>
            </a:ext>
          </a:extLst>
        </a:blip>
        <a:srcRect t="63960"/>
        <a:stretch/>
      </xdr:blipFill>
      <xdr:spPr>
        <a:xfrm>
          <a:off x="3086100" y="7080250"/>
          <a:ext cx="317500" cy="146702"/>
        </a:xfrm>
        <a:prstGeom prst="rect">
          <a:avLst/>
        </a:prstGeom>
      </xdr:spPr>
    </xdr:pic>
    <xdr:clientData/>
  </xdr:twoCellAnchor>
  <xdr:twoCellAnchor editAs="oneCell">
    <xdr:from>
      <xdr:col>5</xdr:col>
      <xdr:colOff>647700</xdr:colOff>
      <xdr:row>44</xdr:row>
      <xdr:rowOff>12700</xdr:rowOff>
    </xdr:from>
    <xdr:to>
      <xdr:col>6</xdr:col>
      <xdr:colOff>523012</xdr:colOff>
      <xdr:row>45</xdr:row>
      <xdr:rowOff>0</xdr:rowOff>
    </xdr:to>
    <xdr:pic>
      <xdr:nvPicPr>
        <xdr:cNvPr id="347" name="Image 346" descr="Perpignan">
          <a:extLst>
            <a:ext uri="{FF2B5EF4-FFF2-40B4-BE49-F238E27FC236}">
              <a16:creationId xmlns:a16="http://schemas.microsoft.com/office/drawing/2014/main" id="{00000000-0008-0000-0100-00005B010000}"/>
            </a:ext>
          </a:extLst>
        </xdr:cNvPr>
        <xdr:cNvPicPr>
          <a:picLocks noChangeAspect="1"/>
        </xdr:cNvPicPr>
      </xdr:nvPicPr>
      <xdr:blipFill rotWithShape="1">
        <a:blip xmlns:r="http://schemas.openxmlformats.org/officeDocument/2006/relationships" r:embed="rId35">
          <a:extLst>
            <a:ext uri="{28A0092B-C50C-407E-A947-70E740481C1C}">
              <a14:useLocalDpi xmlns:a14="http://schemas.microsoft.com/office/drawing/2010/main" val="0"/>
            </a:ext>
          </a:extLst>
        </a:blip>
        <a:srcRect t="58064"/>
        <a:stretch/>
      </xdr:blipFill>
      <xdr:spPr>
        <a:xfrm>
          <a:off x="5029200" y="7848600"/>
          <a:ext cx="751612" cy="165100"/>
        </a:xfrm>
        <a:prstGeom prst="rect">
          <a:avLst/>
        </a:prstGeom>
      </xdr:spPr>
    </xdr:pic>
    <xdr:clientData/>
  </xdr:twoCellAnchor>
  <xdr:twoCellAnchor editAs="oneCell">
    <xdr:from>
      <xdr:col>1</xdr:col>
      <xdr:colOff>12699</xdr:colOff>
      <xdr:row>20</xdr:row>
      <xdr:rowOff>44450</xdr:rowOff>
    </xdr:from>
    <xdr:to>
      <xdr:col>1</xdr:col>
      <xdr:colOff>661812</xdr:colOff>
      <xdr:row>21</xdr:row>
      <xdr:rowOff>25400</xdr:rowOff>
    </xdr:to>
    <xdr:pic>
      <xdr:nvPicPr>
        <xdr:cNvPr id="348" name="Image 347" descr="Quimper">
          <a:extLst>
            <a:ext uri="{FF2B5EF4-FFF2-40B4-BE49-F238E27FC236}">
              <a16:creationId xmlns:a16="http://schemas.microsoft.com/office/drawing/2014/main" id="{00000000-0008-0000-0100-00005C010000}"/>
            </a:ext>
          </a:extLst>
        </xdr:cNvPr>
        <xdr:cNvPicPr>
          <a:picLocks noChangeAspect="1"/>
        </xdr:cNvPicPr>
      </xdr:nvPicPr>
      <xdr:blipFill rotWithShape="1">
        <a:blip xmlns:r="http://schemas.openxmlformats.org/officeDocument/2006/relationships" r:embed="rId36">
          <a:extLst>
            <a:ext uri="{28A0092B-C50C-407E-A947-70E740481C1C}">
              <a14:useLocalDpi xmlns:a14="http://schemas.microsoft.com/office/drawing/2010/main" val="0"/>
            </a:ext>
          </a:extLst>
        </a:blip>
        <a:srcRect t="58333"/>
        <a:stretch/>
      </xdr:blipFill>
      <xdr:spPr>
        <a:xfrm>
          <a:off x="888999" y="3613150"/>
          <a:ext cx="649113" cy="158750"/>
        </a:xfrm>
        <a:prstGeom prst="rect">
          <a:avLst/>
        </a:prstGeom>
      </xdr:spPr>
    </xdr:pic>
    <xdr:clientData/>
  </xdr:twoCellAnchor>
  <xdr:twoCellAnchor editAs="oneCell">
    <xdr:from>
      <xdr:col>2</xdr:col>
      <xdr:colOff>571500</xdr:colOff>
      <xdr:row>19</xdr:row>
      <xdr:rowOff>146050</xdr:rowOff>
    </xdr:from>
    <xdr:to>
      <xdr:col>3</xdr:col>
      <xdr:colOff>257500</xdr:colOff>
      <xdr:row>20</xdr:row>
      <xdr:rowOff>101600</xdr:rowOff>
    </xdr:to>
    <xdr:pic>
      <xdr:nvPicPr>
        <xdr:cNvPr id="349" name="Image 348" descr="Rennes">
          <a:extLst>
            <a:ext uri="{FF2B5EF4-FFF2-40B4-BE49-F238E27FC236}">
              <a16:creationId xmlns:a16="http://schemas.microsoft.com/office/drawing/2014/main" id="{00000000-0008-0000-0100-00005D010000}"/>
            </a:ext>
          </a:extLst>
        </xdr:cNvPr>
        <xdr:cNvPicPr>
          <a:picLocks noChangeAspect="1"/>
        </xdr:cNvPicPr>
      </xdr:nvPicPr>
      <xdr:blipFill rotWithShape="1">
        <a:blip xmlns:r="http://schemas.openxmlformats.org/officeDocument/2006/relationships" r:embed="rId37">
          <a:extLst>
            <a:ext uri="{28A0092B-C50C-407E-A947-70E740481C1C}">
              <a14:useLocalDpi xmlns:a14="http://schemas.microsoft.com/office/drawing/2010/main" val="0"/>
            </a:ext>
          </a:extLst>
        </a:blip>
        <a:srcRect t="63793"/>
        <a:stretch/>
      </xdr:blipFill>
      <xdr:spPr>
        <a:xfrm>
          <a:off x="2324100" y="3536950"/>
          <a:ext cx="548693" cy="133350"/>
        </a:xfrm>
        <a:prstGeom prst="rect">
          <a:avLst/>
        </a:prstGeom>
      </xdr:spPr>
    </xdr:pic>
    <xdr:clientData/>
  </xdr:twoCellAnchor>
  <xdr:twoCellAnchor editAs="oneCell">
    <xdr:from>
      <xdr:col>8</xdr:col>
      <xdr:colOff>533400</xdr:colOff>
      <xdr:row>18</xdr:row>
      <xdr:rowOff>50800</xdr:rowOff>
    </xdr:from>
    <xdr:to>
      <xdr:col>9</xdr:col>
      <xdr:colOff>560683</xdr:colOff>
      <xdr:row>19</xdr:row>
      <xdr:rowOff>50800</xdr:rowOff>
    </xdr:to>
    <xdr:pic>
      <xdr:nvPicPr>
        <xdr:cNvPr id="350" name="Image 349" descr="Strasbourg">
          <a:extLst>
            <a:ext uri="{FF2B5EF4-FFF2-40B4-BE49-F238E27FC236}">
              <a16:creationId xmlns:a16="http://schemas.microsoft.com/office/drawing/2014/main" id="{00000000-0008-0000-0100-00005E010000}"/>
            </a:ext>
          </a:extLst>
        </xdr:cNvPr>
        <xdr:cNvPicPr>
          <a:picLocks noChangeAspect="1"/>
        </xdr:cNvPicPr>
      </xdr:nvPicPr>
      <xdr:blipFill rotWithShape="1">
        <a:blip xmlns:r="http://schemas.openxmlformats.org/officeDocument/2006/relationships" r:embed="rId38">
          <a:extLst>
            <a:ext uri="{28A0092B-C50C-407E-A947-70E740481C1C}">
              <a14:useLocalDpi xmlns:a14="http://schemas.microsoft.com/office/drawing/2010/main" val="0"/>
            </a:ext>
          </a:extLst>
        </a:blip>
        <a:srcRect t="59091"/>
        <a:stretch/>
      </xdr:blipFill>
      <xdr:spPr>
        <a:xfrm>
          <a:off x="7523480" y="3352800"/>
          <a:ext cx="901043" cy="182880"/>
        </a:xfrm>
        <a:prstGeom prst="rect">
          <a:avLst/>
        </a:prstGeom>
      </xdr:spPr>
    </xdr:pic>
    <xdr:clientData/>
  </xdr:twoCellAnchor>
  <xdr:twoCellAnchor editAs="oneCell">
    <xdr:from>
      <xdr:col>4</xdr:col>
      <xdr:colOff>330200</xdr:colOff>
      <xdr:row>23</xdr:row>
      <xdr:rowOff>110066</xdr:rowOff>
    </xdr:from>
    <xdr:to>
      <xdr:col>4</xdr:col>
      <xdr:colOff>749300</xdr:colOff>
      <xdr:row>24</xdr:row>
      <xdr:rowOff>55477</xdr:rowOff>
    </xdr:to>
    <xdr:pic>
      <xdr:nvPicPr>
        <xdr:cNvPr id="351" name="Image 350" descr="Tours">
          <a:extLst>
            <a:ext uri="{FF2B5EF4-FFF2-40B4-BE49-F238E27FC236}">
              <a16:creationId xmlns:a16="http://schemas.microsoft.com/office/drawing/2014/main" id="{00000000-0008-0000-0100-00005F010000}"/>
            </a:ext>
          </a:extLst>
        </xdr:cNvPr>
        <xdr:cNvPicPr>
          <a:picLocks noChangeAspect="1"/>
        </xdr:cNvPicPr>
      </xdr:nvPicPr>
      <xdr:blipFill rotWithShape="1">
        <a:blip xmlns:r="http://schemas.openxmlformats.org/officeDocument/2006/relationships" r:embed="rId39">
          <a:extLst>
            <a:ext uri="{28A0092B-C50C-407E-A947-70E740481C1C}">
              <a14:useLocalDpi xmlns:a14="http://schemas.microsoft.com/office/drawing/2010/main" val="0"/>
            </a:ext>
          </a:extLst>
        </a:blip>
        <a:srcRect t="65801"/>
        <a:stretch/>
      </xdr:blipFill>
      <xdr:spPr>
        <a:xfrm>
          <a:off x="3852333" y="4216399"/>
          <a:ext cx="419100" cy="123211"/>
        </a:xfrm>
        <a:prstGeom prst="rect">
          <a:avLst/>
        </a:prstGeom>
      </xdr:spPr>
    </xdr:pic>
    <xdr:clientData/>
  </xdr:twoCellAnchor>
  <xdr:twoCellAnchor>
    <xdr:from>
      <xdr:col>1</xdr:col>
      <xdr:colOff>260350</xdr:colOff>
      <xdr:row>6</xdr:row>
      <xdr:rowOff>38100</xdr:rowOff>
    </xdr:from>
    <xdr:to>
      <xdr:col>9</xdr:col>
      <xdr:colOff>701463</xdr:colOff>
      <xdr:row>45</xdr:row>
      <xdr:rowOff>9313</xdr:rowOff>
    </xdr:to>
    <xdr:grpSp>
      <xdr:nvGrpSpPr>
        <xdr:cNvPr id="2" name="Grouper 1">
          <a:extLst>
            <a:ext uri="{FF2B5EF4-FFF2-40B4-BE49-F238E27FC236}">
              <a16:creationId xmlns:a16="http://schemas.microsoft.com/office/drawing/2014/main" id="{00000000-0008-0000-0100-000002000000}"/>
            </a:ext>
          </a:extLst>
        </xdr:cNvPr>
        <xdr:cNvGrpSpPr/>
      </xdr:nvGrpSpPr>
      <xdr:grpSpPr>
        <a:xfrm>
          <a:off x="1141879" y="1203512"/>
          <a:ext cx="7478408" cy="7606154"/>
          <a:chOff x="1136650" y="1104900"/>
          <a:chExt cx="7451513" cy="6981613"/>
        </a:xfrm>
      </xdr:grpSpPr>
      <xdr:sp macro="[0]!Ville_Cliquer" textlink="">
        <xdr:nvSpPr>
          <xdr:cNvPr id="68" name="Ellipse 67">
            <a:extLst>
              <a:ext uri="{FF2B5EF4-FFF2-40B4-BE49-F238E27FC236}">
                <a16:creationId xmlns:a16="http://schemas.microsoft.com/office/drawing/2014/main" id="{00000000-0008-0000-0100-000044000000}"/>
              </a:ext>
            </a:extLst>
          </xdr:cNvPr>
          <xdr:cNvSpPr/>
        </xdr:nvSpPr>
        <xdr:spPr>
          <a:xfrm>
            <a:off x="2921000" y="3860346"/>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55" name="Ellipse 54">
            <a:extLst>
              <a:ext uri="{FF2B5EF4-FFF2-40B4-BE49-F238E27FC236}">
                <a16:creationId xmlns:a16="http://schemas.microsoft.com/office/drawing/2014/main" id="{00000000-0008-0000-0100-000037000000}"/>
              </a:ext>
            </a:extLst>
          </xdr:cNvPr>
          <xdr:cNvSpPr/>
        </xdr:nvSpPr>
        <xdr:spPr>
          <a:xfrm>
            <a:off x="7873153" y="299235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57" name="Ellipse 56">
            <a:extLst>
              <a:ext uri="{FF2B5EF4-FFF2-40B4-BE49-F238E27FC236}">
                <a16:creationId xmlns:a16="http://schemas.microsoft.com/office/drawing/2014/main" id="{00000000-0008-0000-0100-000039000000}"/>
              </a:ext>
            </a:extLst>
          </xdr:cNvPr>
          <xdr:cNvSpPr/>
        </xdr:nvSpPr>
        <xdr:spPr>
          <a:xfrm>
            <a:off x="7073900" y="2425007"/>
            <a:ext cx="242146"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58" name="Ellipse 57">
            <a:extLst>
              <a:ext uri="{FF2B5EF4-FFF2-40B4-BE49-F238E27FC236}">
                <a16:creationId xmlns:a16="http://schemas.microsoft.com/office/drawing/2014/main" id="{00000000-0008-0000-0100-00003A000000}"/>
              </a:ext>
            </a:extLst>
          </xdr:cNvPr>
          <xdr:cNvSpPr/>
        </xdr:nvSpPr>
        <xdr:spPr>
          <a:xfrm>
            <a:off x="7073900" y="2835137"/>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59" name="Ellipse 58">
            <a:extLst>
              <a:ext uri="{FF2B5EF4-FFF2-40B4-BE49-F238E27FC236}">
                <a16:creationId xmlns:a16="http://schemas.microsoft.com/office/drawing/2014/main" id="{00000000-0008-0000-0100-00003B000000}"/>
              </a:ext>
            </a:extLst>
          </xdr:cNvPr>
          <xdr:cNvSpPr/>
        </xdr:nvSpPr>
        <xdr:spPr>
          <a:xfrm>
            <a:off x="4883150" y="2828729"/>
            <a:ext cx="237913" cy="252913"/>
          </a:xfrm>
          <a:prstGeom prst="ellipse">
            <a:avLst/>
          </a:prstGeom>
          <a:solidFill>
            <a:srgbClr val="66F60C"/>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60" name="Ellipse 59">
            <a:extLst>
              <a:ext uri="{FF2B5EF4-FFF2-40B4-BE49-F238E27FC236}">
                <a16:creationId xmlns:a16="http://schemas.microsoft.com/office/drawing/2014/main" id="{00000000-0008-0000-0100-00003C000000}"/>
              </a:ext>
            </a:extLst>
          </xdr:cNvPr>
          <xdr:cNvSpPr/>
        </xdr:nvSpPr>
        <xdr:spPr>
          <a:xfrm>
            <a:off x="5359400" y="284795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61" name="Ellipse 60">
            <a:extLst>
              <a:ext uri="{FF2B5EF4-FFF2-40B4-BE49-F238E27FC236}">
                <a16:creationId xmlns:a16="http://schemas.microsoft.com/office/drawing/2014/main" id="{00000000-0008-0000-0100-00003D000000}"/>
              </a:ext>
            </a:extLst>
          </xdr:cNvPr>
          <xdr:cNvSpPr/>
        </xdr:nvSpPr>
        <xdr:spPr>
          <a:xfrm>
            <a:off x="5067300" y="321963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64" name="Ellipse 63">
            <a:extLst>
              <a:ext uri="{FF2B5EF4-FFF2-40B4-BE49-F238E27FC236}">
                <a16:creationId xmlns:a16="http://schemas.microsoft.com/office/drawing/2014/main" id="{00000000-0008-0000-0100-000040000000}"/>
              </a:ext>
            </a:extLst>
          </xdr:cNvPr>
          <xdr:cNvSpPr/>
        </xdr:nvSpPr>
        <xdr:spPr>
          <a:xfrm>
            <a:off x="1193800" y="303379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65" name="Ellipse 64">
            <a:extLst>
              <a:ext uri="{FF2B5EF4-FFF2-40B4-BE49-F238E27FC236}">
                <a16:creationId xmlns:a16="http://schemas.microsoft.com/office/drawing/2014/main" id="{00000000-0008-0000-0100-000041000000}"/>
              </a:ext>
            </a:extLst>
          </xdr:cNvPr>
          <xdr:cNvSpPr/>
        </xdr:nvSpPr>
        <xdr:spPr>
          <a:xfrm>
            <a:off x="1136650" y="340547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66" name="Ellipse 65">
            <a:extLst>
              <a:ext uri="{FF2B5EF4-FFF2-40B4-BE49-F238E27FC236}">
                <a16:creationId xmlns:a16="http://schemas.microsoft.com/office/drawing/2014/main" id="{00000000-0008-0000-0100-000042000000}"/>
              </a:ext>
            </a:extLst>
          </xdr:cNvPr>
          <xdr:cNvSpPr/>
        </xdr:nvSpPr>
        <xdr:spPr>
          <a:xfrm>
            <a:off x="2495550" y="329653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67" name="Ellipse 66">
            <a:extLst>
              <a:ext uri="{FF2B5EF4-FFF2-40B4-BE49-F238E27FC236}">
                <a16:creationId xmlns:a16="http://schemas.microsoft.com/office/drawing/2014/main" id="{00000000-0008-0000-0100-000043000000}"/>
              </a:ext>
            </a:extLst>
          </xdr:cNvPr>
          <xdr:cNvSpPr/>
        </xdr:nvSpPr>
        <xdr:spPr>
          <a:xfrm>
            <a:off x="2546350" y="4103978"/>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69" name="Ellipse 68">
            <a:extLst>
              <a:ext uri="{FF2B5EF4-FFF2-40B4-BE49-F238E27FC236}">
                <a16:creationId xmlns:a16="http://schemas.microsoft.com/office/drawing/2014/main" id="{00000000-0008-0000-0100-000045000000}"/>
              </a:ext>
            </a:extLst>
          </xdr:cNvPr>
          <xdr:cNvSpPr/>
        </xdr:nvSpPr>
        <xdr:spPr>
          <a:xfrm>
            <a:off x="3492500" y="3565682"/>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0" name="Ellipse 69">
            <a:extLst>
              <a:ext uri="{FF2B5EF4-FFF2-40B4-BE49-F238E27FC236}">
                <a16:creationId xmlns:a16="http://schemas.microsoft.com/office/drawing/2014/main" id="{00000000-0008-0000-0100-000046000000}"/>
              </a:ext>
            </a:extLst>
          </xdr:cNvPr>
          <xdr:cNvSpPr/>
        </xdr:nvSpPr>
        <xdr:spPr>
          <a:xfrm>
            <a:off x="4559300" y="344392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1" name="Ellipse 70">
            <a:extLst>
              <a:ext uri="{FF2B5EF4-FFF2-40B4-BE49-F238E27FC236}">
                <a16:creationId xmlns:a16="http://schemas.microsoft.com/office/drawing/2014/main" id="{00000000-0008-0000-0100-000047000000}"/>
              </a:ext>
            </a:extLst>
          </xdr:cNvPr>
          <xdr:cNvSpPr/>
        </xdr:nvSpPr>
        <xdr:spPr>
          <a:xfrm>
            <a:off x="3937000" y="3982220"/>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2" name="Ellipse 71">
            <a:extLst>
              <a:ext uri="{FF2B5EF4-FFF2-40B4-BE49-F238E27FC236}">
                <a16:creationId xmlns:a16="http://schemas.microsoft.com/office/drawing/2014/main" id="{00000000-0008-0000-0100-000048000000}"/>
              </a:ext>
            </a:extLst>
          </xdr:cNvPr>
          <xdr:cNvSpPr/>
        </xdr:nvSpPr>
        <xdr:spPr>
          <a:xfrm>
            <a:off x="4337050" y="385405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3" name="Ellipse 72">
            <a:extLst>
              <a:ext uri="{FF2B5EF4-FFF2-40B4-BE49-F238E27FC236}">
                <a16:creationId xmlns:a16="http://schemas.microsoft.com/office/drawing/2014/main" id="{00000000-0008-0000-0100-000049000000}"/>
              </a:ext>
            </a:extLst>
          </xdr:cNvPr>
          <xdr:cNvSpPr/>
        </xdr:nvSpPr>
        <xdr:spPr>
          <a:xfrm>
            <a:off x="7067550" y="4071936"/>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4" name="Ellipse 73">
            <a:extLst>
              <a:ext uri="{FF2B5EF4-FFF2-40B4-BE49-F238E27FC236}">
                <a16:creationId xmlns:a16="http://schemas.microsoft.com/office/drawing/2014/main" id="{00000000-0008-0000-0100-00004A000000}"/>
              </a:ext>
            </a:extLst>
          </xdr:cNvPr>
          <xdr:cNvSpPr/>
        </xdr:nvSpPr>
        <xdr:spPr>
          <a:xfrm>
            <a:off x="6419850" y="434108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5" name="Ellipse 74">
            <a:extLst>
              <a:ext uri="{FF2B5EF4-FFF2-40B4-BE49-F238E27FC236}">
                <a16:creationId xmlns:a16="http://schemas.microsoft.com/office/drawing/2014/main" id="{00000000-0008-0000-0100-00004B000000}"/>
              </a:ext>
            </a:extLst>
          </xdr:cNvPr>
          <xdr:cNvSpPr/>
        </xdr:nvSpPr>
        <xdr:spPr>
          <a:xfrm>
            <a:off x="7289800" y="3636173"/>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6" name="Ellipse 75">
            <a:extLst>
              <a:ext uri="{FF2B5EF4-FFF2-40B4-BE49-F238E27FC236}">
                <a16:creationId xmlns:a16="http://schemas.microsoft.com/office/drawing/2014/main" id="{00000000-0008-0000-0100-00004C000000}"/>
              </a:ext>
            </a:extLst>
          </xdr:cNvPr>
          <xdr:cNvSpPr/>
        </xdr:nvSpPr>
        <xdr:spPr>
          <a:xfrm>
            <a:off x="2940050" y="5577883"/>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7" name="Ellipse 76">
            <a:extLst>
              <a:ext uri="{FF2B5EF4-FFF2-40B4-BE49-F238E27FC236}">
                <a16:creationId xmlns:a16="http://schemas.microsoft.com/office/drawing/2014/main" id="{00000000-0008-0000-0100-00004D000000}"/>
              </a:ext>
            </a:extLst>
          </xdr:cNvPr>
          <xdr:cNvSpPr/>
        </xdr:nvSpPr>
        <xdr:spPr>
          <a:xfrm>
            <a:off x="3162300" y="6891582"/>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8" name="Ellipse 77">
            <a:extLst>
              <a:ext uri="{FF2B5EF4-FFF2-40B4-BE49-F238E27FC236}">
                <a16:creationId xmlns:a16="http://schemas.microsoft.com/office/drawing/2014/main" id="{00000000-0008-0000-0100-00004E000000}"/>
              </a:ext>
            </a:extLst>
          </xdr:cNvPr>
          <xdr:cNvSpPr/>
        </xdr:nvSpPr>
        <xdr:spPr>
          <a:xfrm>
            <a:off x="2533650" y="6955665"/>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79" name="Ellipse 78">
            <a:extLst>
              <a:ext uri="{FF2B5EF4-FFF2-40B4-BE49-F238E27FC236}">
                <a16:creationId xmlns:a16="http://schemas.microsoft.com/office/drawing/2014/main" id="{00000000-0008-0000-0100-00004F000000}"/>
              </a:ext>
            </a:extLst>
          </xdr:cNvPr>
          <xdr:cNvSpPr/>
        </xdr:nvSpPr>
        <xdr:spPr>
          <a:xfrm>
            <a:off x="7112000" y="5135712"/>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0" name="Ellipse 79">
            <a:extLst>
              <a:ext uri="{FF2B5EF4-FFF2-40B4-BE49-F238E27FC236}">
                <a16:creationId xmlns:a16="http://schemas.microsoft.com/office/drawing/2014/main" id="{00000000-0008-0000-0100-000050000000}"/>
              </a:ext>
            </a:extLst>
          </xdr:cNvPr>
          <xdr:cNvSpPr/>
        </xdr:nvSpPr>
        <xdr:spPr>
          <a:xfrm>
            <a:off x="6845300" y="5577883"/>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1" name="Ellipse 80">
            <a:extLst>
              <a:ext uri="{FF2B5EF4-FFF2-40B4-BE49-F238E27FC236}">
                <a16:creationId xmlns:a16="http://schemas.microsoft.com/office/drawing/2014/main" id="{00000000-0008-0000-0100-000051000000}"/>
              </a:ext>
            </a:extLst>
          </xdr:cNvPr>
          <xdr:cNvSpPr/>
        </xdr:nvSpPr>
        <xdr:spPr>
          <a:xfrm>
            <a:off x="6489700" y="509085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2" name="Ellipse 81">
            <a:extLst>
              <a:ext uri="{FF2B5EF4-FFF2-40B4-BE49-F238E27FC236}">
                <a16:creationId xmlns:a16="http://schemas.microsoft.com/office/drawing/2014/main" id="{00000000-0008-0000-0100-000052000000}"/>
              </a:ext>
            </a:extLst>
          </xdr:cNvPr>
          <xdr:cNvSpPr/>
        </xdr:nvSpPr>
        <xdr:spPr>
          <a:xfrm>
            <a:off x="5264150" y="7628535"/>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3" name="Ellipse 82">
            <a:extLst>
              <a:ext uri="{FF2B5EF4-FFF2-40B4-BE49-F238E27FC236}">
                <a16:creationId xmlns:a16="http://schemas.microsoft.com/office/drawing/2014/main" id="{00000000-0008-0000-0100-000053000000}"/>
              </a:ext>
            </a:extLst>
          </xdr:cNvPr>
          <xdr:cNvSpPr/>
        </xdr:nvSpPr>
        <xdr:spPr>
          <a:xfrm>
            <a:off x="5899150" y="6872357"/>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4" name="Ellipse 83">
            <a:extLst>
              <a:ext uri="{FF2B5EF4-FFF2-40B4-BE49-F238E27FC236}">
                <a16:creationId xmlns:a16="http://schemas.microsoft.com/office/drawing/2014/main" id="{00000000-0008-0000-0100-000054000000}"/>
              </a:ext>
            </a:extLst>
          </xdr:cNvPr>
          <xdr:cNvSpPr/>
        </xdr:nvSpPr>
        <xdr:spPr>
          <a:xfrm>
            <a:off x="5041900" y="7173546"/>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5" name="Ellipse 84">
            <a:extLst>
              <a:ext uri="{FF2B5EF4-FFF2-40B4-BE49-F238E27FC236}">
                <a16:creationId xmlns:a16="http://schemas.microsoft.com/office/drawing/2014/main" id="{00000000-0008-0000-0100-000055000000}"/>
              </a:ext>
            </a:extLst>
          </xdr:cNvPr>
          <xdr:cNvSpPr/>
        </xdr:nvSpPr>
        <xdr:spPr>
          <a:xfrm>
            <a:off x="7969250" y="658398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6" name="Ellipse 85">
            <a:extLst>
              <a:ext uri="{FF2B5EF4-FFF2-40B4-BE49-F238E27FC236}">
                <a16:creationId xmlns:a16="http://schemas.microsoft.com/office/drawing/2014/main" id="{00000000-0008-0000-0100-000056000000}"/>
              </a:ext>
            </a:extLst>
          </xdr:cNvPr>
          <xdr:cNvSpPr/>
        </xdr:nvSpPr>
        <xdr:spPr>
          <a:xfrm>
            <a:off x="6826250" y="7064605"/>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7" name="Ellipse 86">
            <a:extLst>
              <a:ext uri="{FF2B5EF4-FFF2-40B4-BE49-F238E27FC236}">
                <a16:creationId xmlns:a16="http://schemas.microsoft.com/office/drawing/2014/main" id="{00000000-0008-0000-0100-000057000000}"/>
              </a:ext>
            </a:extLst>
          </xdr:cNvPr>
          <xdr:cNvSpPr/>
        </xdr:nvSpPr>
        <xdr:spPr>
          <a:xfrm>
            <a:off x="7600950" y="6763416"/>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8" name="Ellipse 87">
            <a:extLst>
              <a:ext uri="{FF2B5EF4-FFF2-40B4-BE49-F238E27FC236}">
                <a16:creationId xmlns:a16="http://schemas.microsoft.com/office/drawing/2014/main" id="{00000000-0008-0000-0100-000058000000}"/>
              </a:ext>
            </a:extLst>
          </xdr:cNvPr>
          <xdr:cNvSpPr/>
        </xdr:nvSpPr>
        <xdr:spPr>
          <a:xfrm>
            <a:off x="8350250" y="7154321"/>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89" name="Ellipse 88">
            <a:extLst>
              <a:ext uri="{FF2B5EF4-FFF2-40B4-BE49-F238E27FC236}">
                <a16:creationId xmlns:a16="http://schemas.microsoft.com/office/drawing/2014/main" id="{00000000-0008-0000-0100-000059000000}"/>
              </a:ext>
            </a:extLst>
          </xdr:cNvPr>
          <xdr:cNvSpPr/>
        </xdr:nvSpPr>
        <xdr:spPr>
          <a:xfrm>
            <a:off x="8039100" y="7481144"/>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90" name="Ellipse 89">
            <a:extLst>
              <a:ext uri="{FF2B5EF4-FFF2-40B4-BE49-F238E27FC236}">
                <a16:creationId xmlns:a16="http://schemas.microsoft.com/office/drawing/2014/main" id="{00000000-0008-0000-0100-00005A000000}"/>
              </a:ext>
            </a:extLst>
          </xdr:cNvPr>
          <xdr:cNvSpPr/>
        </xdr:nvSpPr>
        <xdr:spPr>
          <a:xfrm>
            <a:off x="7880350" y="7833600"/>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91" name="Ellipse 90">
            <a:extLst>
              <a:ext uri="{FF2B5EF4-FFF2-40B4-BE49-F238E27FC236}">
                <a16:creationId xmlns:a16="http://schemas.microsoft.com/office/drawing/2014/main" id="{00000000-0008-0000-0100-00005B000000}"/>
              </a:ext>
            </a:extLst>
          </xdr:cNvPr>
          <xdr:cNvSpPr/>
        </xdr:nvSpPr>
        <xdr:spPr>
          <a:xfrm>
            <a:off x="5035550" y="1527847"/>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92" name="Ellipse 91">
            <a:extLst>
              <a:ext uri="{FF2B5EF4-FFF2-40B4-BE49-F238E27FC236}">
                <a16:creationId xmlns:a16="http://schemas.microsoft.com/office/drawing/2014/main" id="{00000000-0008-0000-0100-00005C000000}"/>
              </a:ext>
            </a:extLst>
          </xdr:cNvPr>
          <xdr:cNvSpPr/>
        </xdr:nvSpPr>
        <xdr:spPr>
          <a:xfrm>
            <a:off x="4908550" y="1104900"/>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93" name="Ellipse 92">
            <a:extLst>
              <a:ext uri="{FF2B5EF4-FFF2-40B4-BE49-F238E27FC236}">
                <a16:creationId xmlns:a16="http://schemas.microsoft.com/office/drawing/2014/main" id="{00000000-0008-0000-0100-00005D000000}"/>
              </a:ext>
            </a:extLst>
          </xdr:cNvPr>
          <xdr:cNvSpPr/>
        </xdr:nvSpPr>
        <xdr:spPr>
          <a:xfrm>
            <a:off x="4413250" y="1470172"/>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94" name="Ellipse 93">
            <a:extLst>
              <a:ext uri="{FF2B5EF4-FFF2-40B4-BE49-F238E27FC236}">
                <a16:creationId xmlns:a16="http://schemas.microsoft.com/office/drawing/2014/main" id="{00000000-0008-0000-0100-00005E000000}"/>
              </a:ext>
            </a:extLst>
          </xdr:cNvPr>
          <xdr:cNvSpPr/>
        </xdr:nvSpPr>
        <xdr:spPr>
          <a:xfrm>
            <a:off x="2622550" y="2181492"/>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95" name="Ellipse 94">
            <a:extLst>
              <a:ext uri="{FF2B5EF4-FFF2-40B4-BE49-F238E27FC236}">
                <a16:creationId xmlns:a16="http://schemas.microsoft.com/office/drawing/2014/main" id="{00000000-0008-0000-0100-00005F000000}"/>
              </a:ext>
            </a:extLst>
          </xdr:cNvPr>
          <xdr:cNvSpPr/>
        </xdr:nvSpPr>
        <xdr:spPr>
          <a:xfrm>
            <a:off x="3670300" y="2162267"/>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sp macro="[0]!Ville_Cliquer" textlink="">
        <xdr:nvSpPr>
          <xdr:cNvPr id="96" name="Ellipse 95">
            <a:extLst>
              <a:ext uri="{FF2B5EF4-FFF2-40B4-BE49-F238E27FC236}">
                <a16:creationId xmlns:a16="http://schemas.microsoft.com/office/drawing/2014/main" id="{00000000-0008-0000-0100-000060000000}"/>
              </a:ext>
            </a:extLst>
          </xdr:cNvPr>
          <xdr:cNvSpPr/>
        </xdr:nvSpPr>
        <xdr:spPr>
          <a:xfrm>
            <a:off x="3390900" y="2578806"/>
            <a:ext cx="237913" cy="252913"/>
          </a:xfrm>
          <a:prstGeom prst="ellipse">
            <a:avLst/>
          </a:prstGeom>
          <a:solidFill>
            <a:srgbClr val="800000"/>
          </a:solidFill>
          <a:ln>
            <a:noFill/>
          </a:ln>
        </xdr:spPr>
        <xdr:style>
          <a:lnRef idx="1">
            <a:schemeClr val="accent1"/>
          </a:lnRef>
          <a:fillRef idx="3">
            <a:schemeClr val="accent1"/>
          </a:fillRef>
          <a:effectRef idx="2">
            <a:schemeClr val="accent1"/>
          </a:effectRef>
          <a:fontRef idx="minor">
            <a:schemeClr val="lt1"/>
          </a:fontRef>
        </xdr:style>
        <xdr:txBody>
          <a:bodyPr wrap="square"/>
          <a:lstStyle/>
          <a:p>
            <a:endParaRPr lang="fr-FR"/>
          </a:p>
        </xdr:txBody>
      </xdr:sp>
    </xdr:grpSp>
    <xdr:clientData/>
  </xdr:twoCellAnchor>
  <xdr:twoCellAnchor>
    <xdr:from>
      <xdr:col>0</xdr:col>
      <xdr:colOff>760095</xdr:colOff>
      <xdr:row>6</xdr:row>
      <xdr:rowOff>71120</xdr:rowOff>
    </xdr:from>
    <xdr:to>
      <xdr:col>2</xdr:col>
      <xdr:colOff>680357</xdr:colOff>
      <xdr:row>12</xdr:row>
      <xdr:rowOff>88900</xdr:rowOff>
    </xdr:to>
    <xdr:sp macro="[0]!Reinitialisation" textlink="">
      <xdr:nvSpPr>
        <xdr:cNvPr id="100" name="Bande perforée 99">
          <a:extLst>
            <a:ext uri="{FF2B5EF4-FFF2-40B4-BE49-F238E27FC236}">
              <a16:creationId xmlns:a16="http://schemas.microsoft.com/office/drawing/2014/main" id="{00000000-0008-0000-0100-000064000000}"/>
            </a:ext>
          </a:extLst>
        </xdr:cNvPr>
        <xdr:cNvSpPr/>
      </xdr:nvSpPr>
      <xdr:spPr>
        <a:xfrm>
          <a:off x="760095" y="1214120"/>
          <a:ext cx="1444262" cy="1147173"/>
        </a:xfrm>
        <a:prstGeom prst="flowChartPunchedTape">
          <a:avLst/>
        </a:prstGeom>
        <a:ln/>
      </xdr:spPr>
      <xdr:style>
        <a:lnRef idx="1">
          <a:schemeClr val="accent1"/>
        </a:lnRef>
        <a:fillRef idx="3">
          <a:schemeClr val="accent1"/>
        </a:fillRef>
        <a:effectRef idx="2">
          <a:schemeClr val="accent1"/>
        </a:effectRef>
        <a:fontRef idx="minor">
          <a:schemeClr val="lt1"/>
        </a:fontRef>
      </xdr:style>
      <xdr:txBody>
        <a:bodyPr wrap="square" anchor="ctr"/>
        <a:lstStyle/>
        <a:p>
          <a:pPr algn="ctr"/>
          <a:r>
            <a:rPr lang="fr-FR" sz="1400">
              <a:latin typeface="Comic Sans MS"/>
              <a:cs typeface="Comic Sans MS"/>
            </a:rPr>
            <a:t>Réinitialisation</a:t>
          </a:r>
        </a:p>
      </xdr:txBody>
    </xdr:sp>
    <xdr:clientData/>
  </xdr:twoCellAnchor>
  <xdr:twoCellAnchor>
    <xdr:from>
      <xdr:col>14</xdr:col>
      <xdr:colOff>1358899</xdr:colOff>
      <xdr:row>12</xdr:row>
      <xdr:rowOff>12700</xdr:rowOff>
    </xdr:from>
    <xdr:to>
      <xdr:col>16</xdr:col>
      <xdr:colOff>1442356</xdr:colOff>
      <xdr:row>19</xdr:row>
      <xdr:rowOff>12700</xdr:rowOff>
    </xdr:to>
    <xdr:sp macro="[0]!Aller_a_Graphique" textlink="">
      <xdr:nvSpPr>
        <xdr:cNvPr id="5" name="Ellipse 4">
          <a:extLst>
            <a:ext uri="{FF2B5EF4-FFF2-40B4-BE49-F238E27FC236}">
              <a16:creationId xmlns:a16="http://schemas.microsoft.com/office/drawing/2014/main" id="{00000000-0008-0000-0100-000005000000}"/>
            </a:ext>
          </a:extLst>
        </xdr:cNvPr>
        <xdr:cNvSpPr/>
      </xdr:nvSpPr>
      <xdr:spPr>
        <a:xfrm>
          <a:off x="13591720" y="2285093"/>
          <a:ext cx="2600779" cy="1333500"/>
        </a:xfrm>
        <a:prstGeom prst="ellipse">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fr-FR" sz="1600">
              <a:latin typeface="Comic Sans MS"/>
              <a:cs typeface="Comic Sans MS"/>
            </a:rPr>
            <a:t>CLASSEMENTS</a:t>
          </a:r>
        </a:p>
      </xdr:txBody>
    </xdr:sp>
    <xdr:clientData/>
  </xdr:twoCellAnchor>
  <xdr:twoCellAnchor>
    <xdr:from>
      <xdr:col>8</xdr:col>
      <xdr:colOff>78442</xdr:colOff>
      <xdr:row>6</xdr:row>
      <xdr:rowOff>156883</xdr:rowOff>
    </xdr:from>
    <xdr:to>
      <xdr:col>9</xdr:col>
      <xdr:colOff>459442</xdr:colOff>
      <xdr:row>10</xdr:row>
      <xdr:rowOff>1</xdr:rowOff>
    </xdr:to>
    <xdr:sp macro="[0]!Quitter" textlink="">
      <xdr:nvSpPr>
        <xdr:cNvPr id="4" name="Ellipse 3">
          <a:extLst>
            <a:ext uri="{FF2B5EF4-FFF2-40B4-BE49-F238E27FC236}">
              <a16:creationId xmlns:a16="http://schemas.microsoft.com/office/drawing/2014/main" id="{00000000-0008-0000-0100-000004000000}"/>
            </a:ext>
          </a:extLst>
        </xdr:cNvPr>
        <xdr:cNvSpPr/>
      </xdr:nvSpPr>
      <xdr:spPr>
        <a:xfrm>
          <a:off x="6163236" y="1299883"/>
          <a:ext cx="1143000" cy="593912"/>
        </a:xfrm>
        <a:prstGeom prst="ellipse">
          <a:avLst/>
        </a:prstGeom>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200" b="1">
              <a:latin typeface="Comic Sans MS" panose="030F0702030302020204" pitchFamily="66" charset="0"/>
            </a:rPr>
            <a:t>Quitter</a:t>
          </a:r>
        </a:p>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274319</xdr:colOff>
      <xdr:row>1</xdr:row>
      <xdr:rowOff>121920</xdr:rowOff>
    </xdr:from>
    <xdr:to>
      <xdr:col>2</xdr:col>
      <xdr:colOff>447674</xdr:colOff>
      <xdr:row>9</xdr:row>
      <xdr:rowOff>50800</xdr:rowOff>
    </xdr:to>
    <xdr:sp macro="[0]!ALLER_Acceuil" textlink="">
      <xdr:nvSpPr>
        <xdr:cNvPr id="2" name="Ellipse 1">
          <a:extLst>
            <a:ext uri="{FF2B5EF4-FFF2-40B4-BE49-F238E27FC236}">
              <a16:creationId xmlns:a16="http://schemas.microsoft.com/office/drawing/2014/main" id="{00000000-0008-0000-0500-000002000000}"/>
            </a:ext>
          </a:extLst>
        </xdr:cNvPr>
        <xdr:cNvSpPr/>
      </xdr:nvSpPr>
      <xdr:spPr>
        <a:xfrm>
          <a:off x="274319" y="312420"/>
          <a:ext cx="1697355" cy="1719580"/>
        </a:xfrm>
        <a:prstGeom prst="ellipse">
          <a:avLst/>
        </a:prstGeom>
        <a:ln/>
      </xdr:spPr>
      <xdr:style>
        <a:lnRef idx="1">
          <a:schemeClr val="accent1"/>
        </a:lnRef>
        <a:fillRef idx="3">
          <a:schemeClr val="accent1"/>
        </a:fillRef>
        <a:effectRef idx="2">
          <a:schemeClr val="accent1"/>
        </a:effectRef>
        <a:fontRef idx="minor">
          <a:schemeClr val="lt1"/>
        </a:fontRef>
      </xdr:style>
      <xdr:txBody>
        <a:bodyPr wrap="square" anchor="ctr"/>
        <a:lstStyle/>
        <a:p>
          <a:pPr algn="ctr"/>
          <a:r>
            <a:rPr lang="fr-FR" sz="1800">
              <a:latin typeface="Comic Sans MS"/>
              <a:cs typeface="Comic Sans MS"/>
            </a:rPr>
            <a:t>RETOUR</a:t>
          </a:r>
        </a:p>
      </xdr:txBody>
    </xdr:sp>
    <xdr:clientData/>
  </xdr:twoCellAnchor>
  <xdr:twoCellAnchor>
    <xdr:from>
      <xdr:col>3</xdr:col>
      <xdr:colOff>825500</xdr:colOff>
      <xdr:row>8</xdr:row>
      <xdr:rowOff>25400</xdr:rowOff>
    </xdr:from>
    <xdr:to>
      <xdr:col>14</xdr:col>
      <xdr:colOff>165100</xdr:colOff>
      <xdr:row>39</xdr:row>
      <xdr:rowOff>127000</xdr:rowOff>
    </xdr:to>
    <xdr:graphicFrame macro="">
      <xdr:nvGraphicFramePr>
        <xdr:cNvPr id="3" name="Graphique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G2B2F8/Desktop/RegionsFrance_V01/RegionsFrance_V01/Choix_Image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2B2F8/AppData/Local/Microsoft/Windows/Temporary%20Internet%20Files/Content.Outlook/IZSO6M3M/EXCEL_2007_EX_CARTE_GEO_DYNAMIQUE_FORM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ages"/>
      <sheetName val="Feuil2"/>
      <sheetName val="Feuil3"/>
    </sheetNames>
    <sheetDataSet>
      <sheetData sheetId="0">
        <row r="5">
          <cell r="C5" t="str">
            <v>Image6</v>
          </cell>
        </row>
        <row r="105">
          <cell r="B105" t="str">
            <v>Image1</v>
          </cell>
          <cell r="C105" t="str">
            <v>Image2</v>
          </cell>
          <cell r="D105" t="str">
            <v>Image3</v>
          </cell>
          <cell r="E105" t="str">
            <v>Image4</v>
          </cell>
          <cell r="F105" t="str">
            <v>Image5</v>
          </cell>
          <cell r="G105" t="str">
            <v>Image6</v>
          </cell>
          <cell r="H105" t="str">
            <v>Image7</v>
          </cell>
          <cell r="I105" t="str">
            <v>Image8</v>
          </cell>
        </row>
      </sheetData>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_GEO_DYNAMIQUE_FORME"/>
      <sheetName val="tutoriel"/>
      <sheetName val="FRANCE_VIERGE"/>
      <sheetName val="Base"/>
      <sheetName val="FRANCE"/>
    </sheetNames>
    <sheetDataSet>
      <sheetData sheetId="0" refreshError="1"/>
      <sheetData sheetId="1" refreshError="1"/>
      <sheetData sheetId="2" refreshError="1"/>
      <sheetData sheetId="3">
        <row r="11">
          <cell r="A11" t="str">
            <v>01</v>
          </cell>
          <cell r="B11" t="str">
            <v>Paris-Iles de France</v>
          </cell>
          <cell r="C11">
            <v>0</v>
          </cell>
          <cell r="D11">
            <v>1</v>
          </cell>
          <cell r="E11">
            <v>0</v>
          </cell>
          <cell r="F11">
            <v>1</v>
          </cell>
        </row>
        <row r="12">
          <cell r="A12" t="str">
            <v>02</v>
          </cell>
          <cell r="B12" t="str">
            <v>Nord Ouest</v>
          </cell>
          <cell r="C12">
            <v>2</v>
          </cell>
          <cell r="D12">
            <v>2</v>
          </cell>
          <cell r="E12">
            <v>7</v>
          </cell>
          <cell r="F12">
            <v>2</v>
          </cell>
        </row>
        <row r="13">
          <cell r="A13" t="str">
            <v>03</v>
          </cell>
          <cell r="B13" t="str">
            <v>Nord Est</v>
          </cell>
          <cell r="C13">
            <v>12</v>
          </cell>
          <cell r="D13">
            <v>3</v>
          </cell>
          <cell r="E13">
            <v>12</v>
          </cell>
          <cell r="F13">
            <v>3</v>
          </cell>
        </row>
        <row r="14">
          <cell r="A14" t="str">
            <v>04</v>
          </cell>
          <cell r="B14" t="str">
            <v>Sud Est</v>
          </cell>
          <cell r="C14">
            <v>35</v>
          </cell>
          <cell r="D14">
            <v>4</v>
          </cell>
          <cell r="E14">
            <v>55</v>
          </cell>
          <cell r="F14">
            <v>4</v>
          </cell>
        </row>
        <row r="15">
          <cell r="A15" t="str">
            <v>05</v>
          </cell>
          <cell r="B15" t="str">
            <v>Sud Ouest</v>
          </cell>
          <cell r="C15">
            <v>55</v>
          </cell>
          <cell r="D15">
            <v>5</v>
          </cell>
          <cell r="E15">
            <v>201</v>
          </cell>
          <cell r="F15">
            <v>5</v>
          </cell>
        </row>
        <row r="16">
          <cell r="A16" t="str">
            <v>06</v>
          </cell>
          <cell r="B16" t="str">
            <v>Dom Tom</v>
          </cell>
          <cell r="C16">
            <v>10</v>
          </cell>
          <cell r="D16">
            <v>2</v>
          </cell>
          <cell r="E16">
            <v>0</v>
          </cell>
          <cell r="F16">
            <v>1</v>
          </cell>
        </row>
        <row r="17">
          <cell r="A17" t="str">
            <v>07</v>
          </cell>
          <cell r="B17" t="str">
            <v>Paris</v>
          </cell>
          <cell r="C17">
            <v>14</v>
          </cell>
          <cell r="D17">
            <v>3</v>
          </cell>
          <cell r="E17">
            <v>0</v>
          </cell>
          <cell r="F17">
            <v>1</v>
          </cell>
        </row>
        <row r="18">
          <cell r="A18" t="str">
            <v>08</v>
          </cell>
          <cell r="B18" t="str">
            <v>Corses</v>
          </cell>
          <cell r="C18">
            <v>35</v>
          </cell>
          <cell r="D18">
            <v>4</v>
          </cell>
          <cell r="E18">
            <v>55</v>
          </cell>
          <cell r="F18">
            <v>4</v>
          </cell>
        </row>
      </sheetData>
      <sheetData sheetId="4" refreshError="1"/>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dimension ref="A5:M9"/>
  <sheetViews>
    <sheetView showGridLines="0" workbookViewId="0">
      <selection activeCell="J15" sqref="J15"/>
    </sheetView>
  </sheetViews>
  <sheetFormatPr baseColWidth="10" defaultColWidth="10.83203125" defaultRowHeight="15" x14ac:dyDescent="0.2"/>
  <cols>
    <col min="1" max="16384" width="10.83203125" style="83"/>
  </cols>
  <sheetData>
    <row r="5" spans="1:13" x14ac:dyDescent="0.2">
      <c r="A5" s="83" t="s">
        <v>207</v>
      </c>
      <c r="B5" s="83" t="s">
        <v>208</v>
      </c>
      <c r="F5" s="106" t="s">
        <v>206</v>
      </c>
      <c r="G5" s="106"/>
      <c r="H5" s="106"/>
      <c r="I5" s="106"/>
      <c r="J5" s="106"/>
      <c r="K5" s="106"/>
      <c r="L5" s="106"/>
      <c r="M5" s="106"/>
    </row>
    <row r="6" spans="1:13" x14ac:dyDescent="0.2">
      <c r="F6" s="106"/>
      <c r="G6" s="106"/>
      <c r="H6" s="106"/>
      <c r="I6" s="106"/>
      <c r="J6" s="106"/>
      <c r="K6" s="106"/>
      <c r="L6" s="106"/>
      <c r="M6" s="106"/>
    </row>
    <row r="7" spans="1:13" x14ac:dyDescent="0.2">
      <c r="F7" s="106"/>
      <c r="G7" s="106"/>
      <c r="H7" s="106"/>
      <c r="I7" s="106"/>
      <c r="J7" s="106"/>
      <c r="K7" s="106"/>
      <c r="L7" s="106"/>
      <c r="M7" s="106"/>
    </row>
    <row r="8" spans="1:13" x14ac:dyDescent="0.2">
      <c r="F8" s="106"/>
      <c r="G8" s="106"/>
      <c r="H8" s="106"/>
      <c r="I8" s="106"/>
      <c r="J8" s="106"/>
      <c r="K8" s="106"/>
      <c r="L8" s="106"/>
      <c r="M8" s="106"/>
    </row>
    <row r="9" spans="1:13" x14ac:dyDescent="0.2">
      <c r="F9" s="106"/>
      <c r="G9" s="106"/>
      <c r="H9" s="106"/>
      <c r="I9" s="106"/>
      <c r="J9" s="106"/>
      <c r="K9" s="106"/>
      <c r="L9" s="106"/>
      <c r="M9" s="106"/>
    </row>
  </sheetData>
  <mergeCells count="1">
    <mergeCell ref="F5:M9"/>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Demarrer">
                <anchor moveWithCells="1" sizeWithCells="1">
                  <from>
                    <xdr:col>7</xdr:col>
                    <xdr:colOff>647700</xdr:colOff>
                    <xdr:row>10</xdr:row>
                    <xdr:rowOff>152400</xdr:rowOff>
                  </from>
                  <to>
                    <xdr:col>10</xdr:col>
                    <xdr:colOff>812800</xdr:colOff>
                    <xdr:row>17</xdr:row>
                    <xdr:rowOff>127000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dimension ref="A1:X72"/>
  <sheetViews>
    <sheetView showGridLines="0" showRowColHeaders="0" zoomScale="85" zoomScaleNormal="85" zoomScalePageLayoutView="85" workbookViewId="0">
      <selection activeCell="L13" sqref="L13"/>
    </sheetView>
  </sheetViews>
  <sheetFormatPr baseColWidth="10" defaultColWidth="11.5" defaultRowHeight="15" x14ac:dyDescent="0.2"/>
  <cols>
    <col min="1" max="2" width="11.5" style="1"/>
    <col min="3" max="3" width="11.33203125" style="1" customWidth="1"/>
    <col min="4" max="8" width="11.5" style="1"/>
    <col min="9" max="10" width="11.5" style="1" customWidth="1"/>
    <col min="11" max="11" width="5" style="1" customWidth="1"/>
    <col min="12" max="12" width="41.5" style="1" bestFit="1" customWidth="1"/>
    <col min="13" max="13" width="10.83203125" style="1" customWidth="1"/>
    <col min="14" max="14" width="11.83203125" style="1" customWidth="1"/>
    <col min="15" max="15" width="29.5" style="1" customWidth="1"/>
    <col min="16" max="16" width="15.83203125" style="1" customWidth="1"/>
    <col min="17" max="17" width="29.83203125" style="1" customWidth="1"/>
    <col min="18" max="18" width="15.83203125" style="1" customWidth="1"/>
    <col min="19" max="19" width="29.6640625" style="1" customWidth="1"/>
    <col min="20" max="20" width="15.83203125" style="1" customWidth="1"/>
    <col min="21" max="23" width="11.5" style="1"/>
    <col min="24" max="24" width="0" style="1" hidden="1" customWidth="1"/>
    <col min="25" max="16384" width="11.5" style="1"/>
  </cols>
  <sheetData>
    <row r="1" spans="1:24" x14ac:dyDescent="0.2">
      <c r="S1" s="84" t="s">
        <v>198</v>
      </c>
    </row>
    <row r="2" spans="1:24" x14ac:dyDescent="0.2">
      <c r="A2" s="10" t="s">
        <v>110</v>
      </c>
      <c r="S2" s="84" t="s">
        <v>134</v>
      </c>
    </row>
    <row r="3" spans="1:24" x14ac:dyDescent="0.2">
      <c r="A3" s="10" t="s">
        <v>42</v>
      </c>
      <c r="S3" s="84" t="s">
        <v>135</v>
      </c>
    </row>
    <row r="4" spans="1:24" x14ac:dyDescent="0.2">
      <c r="S4" s="84" t="s">
        <v>136</v>
      </c>
    </row>
    <row r="5" spans="1:24" x14ac:dyDescent="0.2">
      <c r="S5" s="84" t="s">
        <v>137</v>
      </c>
    </row>
    <row r="6" spans="1:24" x14ac:dyDescent="0.2">
      <c r="S6" s="86" t="s">
        <v>138</v>
      </c>
    </row>
    <row r="7" spans="1:24" x14ac:dyDescent="0.2">
      <c r="S7" s="84" t="s">
        <v>139</v>
      </c>
    </row>
    <row r="8" spans="1:24" ht="14.5" customHeight="1" x14ac:dyDescent="0.2">
      <c r="S8" s="85" t="s">
        <v>140</v>
      </c>
    </row>
    <row r="9" spans="1:24" ht="15" customHeight="1" x14ac:dyDescent="0.2">
      <c r="S9" s="84" t="s">
        <v>141</v>
      </c>
      <c r="X9" s="1">
        <v>1</v>
      </c>
    </row>
    <row r="10" spans="1:24" x14ac:dyDescent="0.2">
      <c r="L10" s="11" t="s">
        <v>47</v>
      </c>
      <c r="M10" s="11"/>
      <c r="N10" s="11"/>
      <c r="O10" s="11"/>
      <c r="P10" s="11"/>
      <c r="Q10" s="11"/>
      <c r="S10" s="84"/>
      <c r="X10" s="1">
        <v>2</v>
      </c>
    </row>
    <row r="11" spans="1:24" x14ac:dyDescent="0.2">
      <c r="S11" s="10"/>
      <c r="X11" s="1">
        <v>3</v>
      </c>
    </row>
    <row r="12" spans="1:24" x14ac:dyDescent="0.2">
      <c r="L12" s="10" t="s">
        <v>41</v>
      </c>
      <c r="M12" s="10"/>
      <c r="N12" s="10"/>
      <c r="O12" s="10"/>
      <c r="P12" s="10"/>
      <c r="Q12" s="10"/>
    </row>
    <row r="13" spans="1:24" x14ac:dyDescent="0.2">
      <c r="L13" s="1" t="s">
        <v>135</v>
      </c>
    </row>
    <row r="15" spans="1:24" x14ac:dyDescent="0.2">
      <c r="L15" s="10" t="s">
        <v>43</v>
      </c>
      <c r="M15" s="10"/>
      <c r="N15" s="10"/>
      <c r="O15" s="10"/>
      <c r="P15" s="10"/>
      <c r="Q15" s="10"/>
    </row>
    <row r="16" spans="1:24" x14ac:dyDescent="0.2">
      <c r="L16" s="1" t="s">
        <v>137</v>
      </c>
    </row>
    <row r="18" spans="12:20" x14ac:dyDescent="0.2">
      <c r="L18" s="10" t="s">
        <v>44</v>
      </c>
      <c r="M18" s="10"/>
      <c r="N18" s="10"/>
      <c r="O18" s="10"/>
      <c r="P18" s="10"/>
      <c r="Q18" s="10"/>
    </row>
    <row r="19" spans="12:20" x14ac:dyDescent="0.2">
      <c r="L19" s="1" t="s">
        <v>204</v>
      </c>
    </row>
    <row r="21" spans="12:20" x14ac:dyDescent="0.2">
      <c r="L21" s="10" t="s">
        <v>45</v>
      </c>
      <c r="M21" s="10"/>
      <c r="N21" s="10"/>
      <c r="O21" s="10"/>
      <c r="P21" s="10"/>
      <c r="Q21" s="10"/>
    </row>
    <row r="22" spans="12:20" x14ac:dyDescent="0.2">
      <c r="L22" s="1" t="s">
        <v>139</v>
      </c>
    </row>
    <row r="24" spans="12:20" x14ac:dyDescent="0.2">
      <c r="L24" s="10" t="s">
        <v>46</v>
      </c>
      <c r="M24" s="10"/>
      <c r="N24" s="10"/>
      <c r="O24" s="10"/>
      <c r="P24" s="10"/>
      <c r="Q24" s="10"/>
    </row>
    <row r="25" spans="12:20" x14ac:dyDescent="0.2">
      <c r="L25" s="1" t="s">
        <v>139</v>
      </c>
    </row>
    <row r="26" spans="12:20" ht="16" thickBot="1" x14ac:dyDescent="0.25"/>
    <row r="27" spans="12:20" ht="14" customHeight="1" x14ac:dyDescent="0.2">
      <c r="O27" s="110" t="e">
        <f>Regions!C2</f>
        <v>#N/A</v>
      </c>
      <c r="P27" s="111"/>
      <c r="Q27" s="111"/>
      <c r="R27" s="111"/>
      <c r="S27" s="111"/>
      <c r="T27" s="112"/>
    </row>
    <row r="28" spans="12:20" ht="15" customHeight="1" thickBot="1" x14ac:dyDescent="0.25">
      <c r="O28" s="113"/>
      <c r="P28" s="114"/>
      <c r="Q28" s="114"/>
      <c r="R28" s="114"/>
      <c r="S28" s="114"/>
      <c r="T28" s="115"/>
    </row>
    <row r="29" spans="12:20" x14ac:dyDescent="0.2">
      <c r="O29" s="116" t="e">
        <f>IF(ISERROR(O27),1/0,"Ce tableau résume les caractéristiques des villes recensées dans la région sélectionnée sur la carte interactive. Pour le modifier, sélectionnez une autre région sur la carte.")</f>
        <v>#DIV/0!</v>
      </c>
      <c r="P29" s="117"/>
      <c r="Q29" s="117"/>
      <c r="R29" s="117"/>
      <c r="S29" s="117"/>
      <c r="T29" s="118"/>
    </row>
    <row r="30" spans="12:20" x14ac:dyDescent="0.2">
      <c r="O30" s="119"/>
      <c r="P30" s="120"/>
      <c r="Q30" s="120"/>
      <c r="R30" s="120"/>
      <c r="S30" s="120"/>
      <c r="T30" s="121"/>
    </row>
    <row r="31" spans="12:20" x14ac:dyDescent="0.2">
      <c r="L31" s="96" t="s">
        <v>123</v>
      </c>
      <c r="O31" s="119"/>
      <c r="P31" s="120"/>
      <c r="Q31" s="120"/>
      <c r="R31" s="120"/>
      <c r="S31" s="120"/>
      <c r="T31" s="121"/>
    </row>
    <row r="32" spans="12:20" ht="16" thickBot="1" x14ac:dyDescent="0.25">
      <c r="L32" s="85" t="str">
        <f>VilleChoisieNom</f>
        <v>Paris</v>
      </c>
      <c r="O32" s="119"/>
      <c r="P32" s="120"/>
      <c r="Q32" s="120"/>
      <c r="R32" s="120"/>
      <c r="S32" s="120"/>
      <c r="T32" s="121"/>
    </row>
    <row r="33" spans="12:20" ht="15" customHeight="1" thickBot="1" x14ac:dyDescent="0.25">
      <c r="L33" s="125" t="str">
        <f>L32</f>
        <v>Paris</v>
      </c>
      <c r="M33" s="125"/>
      <c r="O33" s="108" t="e">
        <f>IF(O27="Provence Alpes Côte d'Azur","Marseille",VLOOKUP($O$27,Regions!$C$20:$F$33,2,FALSE))</f>
        <v>#N/A</v>
      </c>
      <c r="P33" s="109"/>
      <c r="Q33" s="108" t="e">
        <f>VLOOKUP($O$27,Regions!$C$20:$F$33,3,FALSE)</f>
        <v>#N/A</v>
      </c>
      <c r="R33" s="109"/>
      <c r="S33" s="108" t="e">
        <f>VLOOKUP($O$27,Regions!$C$20:$F$33,4,FALSE)</f>
        <v>#N/A</v>
      </c>
      <c r="T33" s="109"/>
    </row>
    <row r="34" spans="12:20" x14ac:dyDescent="0.2">
      <c r="L34" s="126" t="str">
        <f>IF(ISERROR(L33),1/0,"Critères")</f>
        <v>Critères</v>
      </c>
      <c r="M34" s="126"/>
      <c r="O34" s="122" t="e">
        <f>IF(ISERROR(O27),1/0,"Critères")</f>
        <v>#DIV/0!</v>
      </c>
      <c r="P34" s="123"/>
      <c r="Q34" s="123"/>
      <c r="R34" s="123"/>
      <c r="S34" s="123"/>
      <c r="T34" s="124"/>
    </row>
    <row r="35" spans="12:20" x14ac:dyDescent="0.2">
      <c r="L35" s="93" t="str">
        <f>IF(ISERROR(L32),1/0,"Habitants :")</f>
        <v>Habitants :</v>
      </c>
      <c r="M35" s="94">
        <f>VLOOKUP(L$32,Criteres!A$3:K$42,2,FALSE)</f>
        <v>2125851</v>
      </c>
      <c r="O35" s="19" t="e">
        <f>IF(ISERROR($O$33),1/0,"Habitants :")</f>
        <v>#DIV/0!</v>
      </c>
      <c r="P35" s="64" t="e">
        <f>VLOOKUP(VLOOKUP($O$27,Regions!$C$20:$F$33,2,FALSE),Criteres!$A$3:$K$42,2,FALSE)</f>
        <v>#N/A</v>
      </c>
      <c r="Q35" s="19" t="e">
        <f>IF(ISERROR($O$33),1/0,"Habitants :")</f>
        <v>#DIV/0!</v>
      </c>
      <c r="R35" s="64" t="e">
        <f>VLOOKUP($Q$33,Criteres!$A$3:$K$42,2,FALSE)</f>
        <v>#N/A</v>
      </c>
      <c r="S35" s="19" t="e">
        <f>IF(ISERROR($O$33),1/0,"Habitants :")</f>
        <v>#DIV/0!</v>
      </c>
      <c r="T35" s="65" t="e">
        <f>VLOOKUP($S$33,Criteres!$A$3:$K$42,2,FALSE)</f>
        <v>#N/A</v>
      </c>
    </row>
    <row r="36" spans="12:20" x14ac:dyDescent="0.2">
      <c r="L36" s="93" t="str">
        <f>IF(ISERROR(L32),1/0,"Chomâge :")</f>
        <v>Chomâge :</v>
      </c>
      <c r="M36" s="95">
        <f>VLOOKUP(L$32,Criteres!A$3:K$42,3,FALSE)</f>
        <v>12.05</v>
      </c>
      <c r="O36" s="19" t="e">
        <f>IF(ISERROR($O$33),1/0,"Chomâge :")</f>
        <v>#DIV/0!</v>
      </c>
      <c r="P36" s="64" t="e">
        <f>VLOOKUP(VLOOKUP($O$27,Regions!$C$20:$F$33,2,FALSE),Criteres!$A$3:$K$42,3,FALSE)</f>
        <v>#N/A</v>
      </c>
      <c r="Q36" s="19" t="e">
        <f>IF(ISERROR($O$33),1/0,"Chomâge :")</f>
        <v>#DIV/0!</v>
      </c>
      <c r="R36" s="64" t="e">
        <f>VLOOKUP($Q$33,Criteres!$A$3:$K$42,3,FALSE)</f>
        <v>#N/A</v>
      </c>
      <c r="S36" s="19" t="e">
        <f>IF(ISERROR($O$33),1/0,"Chomâge :")</f>
        <v>#DIV/0!</v>
      </c>
      <c r="T36" s="65" t="e">
        <f>VLOOKUP($S$33,Criteres!$A$3:$K$42,3,FALSE)</f>
        <v>#N/A</v>
      </c>
    </row>
    <row r="37" spans="12:20" x14ac:dyDescent="0.2">
      <c r="L37" s="93" t="str">
        <f>IF(ISERROR(L32),1/0,"Nombre de restaurants :")</f>
        <v>Nombre de restaurants :</v>
      </c>
      <c r="M37" s="94">
        <f>VLOOKUP(L$32,Criteres!A$3:K$42,4,FALSE)</f>
        <v>13955</v>
      </c>
      <c r="O37" s="19" t="e">
        <f>IF(ISERROR($O$33),1/0,"Nombre de restaurants :")</f>
        <v>#DIV/0!</v>
      </c>
      <c r="P37" s="64" t="e">
        <f>VLOOKUP(VLOOKUP($O$27,Regions!$C$20:$F$33,2,FALSE),Criteres!$A$3:$K$42,4,FALSE)</f>
        <v>#N/A</v>
      </c>
      <c r="Q37" s="19" t="e">
        <f>IF(ISERROR($O$33),1/0,"Nombre de restaurants :")</f>
        <v>#DIV/0!</v>
      </c>
      <c r="R37" s="64" t="e">
        <f>VLOOKUP($Q$33,Criteres!$A$3:$K$42,4,FALSE)</f>
        <v>#N/A</v>
      </c>
      <c r="S37" s="19" t="e">
        <f>IF(ISERROR($O$33),1/0,"Nombre de restaurants :")</f>
        <v>#DIV/0!</v>
      </c>
      <c r="T37" s="65" t="e">
        <f>VLOOKUP($S$33,Criteres!$A$3:$K$42,4,FALSE)</f>
        <v>#N/A</v>
      </c>
    </row>
    <row r="38" spans="12:20" x14ac:dyDescent="0.2">
      <c r="L38" s="93" t="str">
        <f>IF(ISERROR(L32),1/0,"Nombre d'écoles pour 10k habitants :")</f>
        <v>Nombre d'écoles pour 10k habitants :</v>
      </c>
      <c r="M38" s="94">
        <f>VLOOKUP(L$32,Criteres!A$3:K$42,5,FALSE)</f>
        <v>1144</v>
      </c>
      <c r="O38" s="19" t="e">
        <f>IF(ISERROR($O$33),1/0,"Nombre d'écoles :")</f>
        <v>#DIV/0!</v>
      </c>
      <c r="P38" s="64" t="e">
        <f>VLOOKUP(VLOOKUP($O$27,Regions!$C$20:$F$33,2,FALSE),Criteres!$A$3:$K$42,5,FALSE)</f>
        <v>#N/A</v>
      </c>
      <c r="Q38" s="19" t="e">
        <f>IF(ISERROR($O$33),1/0,"Nombre d'écoles :")</f>
        <v>#DIV/0!</v>
      </c>
      <c r="R38" s="64" t="e">
        <f>VLOOKUP($Q$33,Criteres!$A$3:$K$42,5,FALSE)</f>
        <v>#N/A</v>
      </c>
      <c r="S38" s="19" t="e">
        <f>IF(ISERROR($O$33),1/0,"Nombre d'écoles :")</f>
        <v>#DIV/0!</v>
      </c>
      <c r="T38" s="65" t="e">
        <f>VLOOKUP($S$33,Criteres!$A$3:$K$42,5,FALSE)</f>
        <v>#N/A</v>
      </c>
    </row>
    <row r="39" spans="12:20" x14ac:dyDescent="0.2">
      <c r="L39" s="93" t="str">
        <f>IF(ISERROR(L32),1/0,"Nombre d'hopitaux pour 100k habitants  :")</f>
        <v>Nombre d'hopitaux pour 100k habitants  :</v>
      </c>
      <c r="M39" s="94">
        <f>VLOOKUP(L$32,Criteres!A$3:K$42,6,FALSE)</f>
        <v>48</v>
      </c>
      <c r="O39" s="19" t="e">
        <f>IF(ISERROR($O$33),1/0,"Nombre d'hopitaux :")</f>
        <v>#DIV/0!</v>
      </c>
      <c r="P39" s="64" t="e">
        <f>VLOOKUP(VLOOKUP($O$27,Regions!$C$20:$F$33,2,FALSE),Criteres!$A$3:$K$42,6,FALSE)</f>
        <v>#N/A</v>
      </c>
      <c r="Q39" s="19" t="e">
        <f>IF(ISERROR($O$33),1/0,"Nombre d'hopitaux :")</f>
        <v>#DIV/0!</v>
      </c>
      <c r="R39" s="64" t="e">
        <f>VLOOKUP($Q$33,Criteres!$A$3:$K$42,6,FALSE)</f>
        <v>#N/A</v>
      </c>
      <c r="S39" s="19" t="e">
        <f>IF(ISERROR($O$33),1/0,"Nombre d'hopitaux :")</f>
        <v>#DIV/0!</v>
      </c>
      <c r="T39" s="65" t="e">
        <f>VLOOKUP($S$33,Criteres!$A$3:$K$42,6,FALSE)</f>
        <v>#N/A</v>
      </c>
    </row>
    <row r="40" spans="12:20" x14ac:dyDescent="0.2">
      <c r="L40" s="93" t="str">
        <f>IF(ISERROR(L32),1/0,"Nombre de jours où il pleut :")</f>
        <v>Nombre de jours où il pleut :</v>
      </c>
      <c r="M40" s="94">
        <f>VLOOKUP(L$32,Criteres!A$3:K$42,7,FALSE)</f>
        <v>111</v>
      </c>
      <c r="O40" s="19" t="e">
        <f>IF(ISERROR($O$33),1/0,"Nombre de jours où il pleut :")</f>
        <v>#DIV/0!</v>
      </c>
      <c r="P40" s="64" t="e">
        <f>VLOOKUP(VLOOKUP($O$27,Regions!$C$20:$F$33,2,FALSE),Criteres!$A$3:$K$42,7,FALSE)</f>
        <v>#N/A</v>
      </c>
      <c r="Q40" s="19" t="e">
        <f>IF(ISERROR($O$33),1/0,"Nombre de jours où il pleut :")</f>
        <v>#DIV/0!</v>
      </c>
      <c r="R40" s="64" t="e">
        <f>VLOOKUP($Q$33,Criteres!$A$3:$K$42,7,FALSE)</f>
        <v>#N/A</v>
      </c>
      <c r="S40" s="19" t="e">
        <f>IF(ISERROR($O$33),1/0,"Nombre de jours où il pleut :")</f>
        <v>#DIV/0!</v>
      </c>
      <c r="T40" s="65" t="e">
        <f>VLOOKUP($S$33,Criteres!$A$3:$K$42,7,FALSE)</f>
        <v>#N/A</v>
      </c>
    </row>
    <row r="41" spans="12:20" x14ac:dyDescent="0.2">
      <c r="L41" s="93" t="str">
        <f>IF(ISERROR(L32),1/0,"Prix au mètre carré :")</f>
        <v>Prix au mètre carré :</v>
      </c>
      <c r="M41" s="94">
        <f>VLOOKUP(L$32,Criteres!A$3:K$42,8,FALSE)</f>
        <v>7837</v>
      </c>
      <c r="O41" s="19" t="e">
        <f>IF(ISERROR($O$33),1/0,"Prix au mètre carré :")</f>
        <v>#DIV/0!</v>
      </c>
      <c r="P41" s="64" t="e">
        <f>VLOOKUP(VLOOKUP($O$27,Regions!$C$20:$F$33,2,FALSE),Criteres!$A$3:$K$42,8,FALSE)</f>
        <v>#N/A</v>
      </c>
      <c r="Q41" s="19" t="e">
        <f>IF(ISERROR($O$33),1/0,"Prix au mètre carré :")</f>
        <v>#DIV/0!</v>
      </c>
      <c r="R41" s="64" t="e">
        <f>VLOOKUP($Q$33,Criteres!$A$3:$K$42,8,FALSE)</f>
        <v>#N/A</v>
      </c>
      <c r="S41" s="19" t="e">
        <f>IF(ISERROR($O$33),1/0,"Prix au mètre carré :")</f>
        <v>#DIV/0!</v>
      </c>
      <c r="T41" s="65" t="e">
        <f>VLOOKUP($S$33,Criteres!$A$3:$K$42,8,FALSE)</f>
        <v>#N/A</v>
      </c>
    </row>
    <row r="42" spans="12:20" ht="16" thickBot="1" x14ac:dyDescent="0.25">
      <c r="L42" s="93" t="str">
        <f>IF(ISERROR(L32),1/O,"Nombre d'hotels :")</f>
        <v>Nombre d'hotels :</v>
      </c>
      <c r="M42" s="94">
        <f>VLOOKUP(L$32,Criteres!A$3:K$42,9,FALSE)</f>
        <v>1804</v>
      </c>
      <c r="O42" s="20" t="e">
        <f>IF(ISERROR($O$33),1/O,"Nombre d'hotels :")</f>
        <v>#NAME?</v>
      </c>
      <c r="P42" s="66" t="e">
        <f>VLOOKUP(VLOOKUP($O$27,Regions!$C$20:$F$33,2,FALSE),Criteres!$A$3:$K$42,9,FALSE)</f>
        <v>#N/A</v>
      </c>
      <c r="Q42" s="20" t="e">
        <f>IF(ISERROR($O$33),1/O,"Nombre d'hotels :")</f>
        <v>#NAME?</v>
      </c>
      <c r="R42" s="66" t="e">
        <f>VLOOKUP($Q$33,Criteres!$A$3:$K$42,9,FALSE)</f>
        <v>#N/A</v>
      </c>
      <c r="S42" s="20" t="e">
        <f>IF(ISERROR($O$33),1/O,"Nombre d'hotels :")</f>
        <v>#NAME?</v>
      </c>
      <c r="T42" s="67" t="e">
        <f>VLOOKUP($S$33,Criteres!$A$3:$K$42,9,FALSE)</f>
        <v>#N/A</v>
      </c>
    </row>
    <row r="43" spans="12:20" ht="19" x14ac:dyDescent="0.25">
      <c r="L43" s="104" t="str">
        <f>IF(ISERROR(L32),1/O,"Rang :")</f>
        <v>Rang :</v>
      </c>
      <c r="M43" s="105">
        <f>VLOOKUP(L33,Criteres!A49:B88,2,FALSE)</f>
        <v>12</v>
      </c>
    </row>
    <row r="50" spans="3:11" ht="21" x14ac:dyDescent="0.25">
      <c r="E50" s="87" t="s">
        <v>60</v>
      </c>
      <c r="F50" s="88"/>
      <c r="G50" s="88"/>
      <c r="H50" s="88"/>
    </row>
    <row r="52" spans="3:11" x14ac:dyDescent="0.2">
      <c r="D52" s="107" t="s">
        <v>98</v>
      </c>
      <c r="E52" s="107"/>
      <c r="F52" s="107"/>
      <c r="I52" s="107" t="s">
        <v>111</v>
      </c>
      <c r="J52" s="107"/>
      <c r="K52" s="107"/>
    </row>
    <row r="54" spans="3:11" x14ac:dyDescent="0.2">
      <c r="C54" s="21" t="s">
        <v>99</v>
      </c>
      <c r="E54" s="17" t="str">
        <f>VLOOKUP(1,Criteres!$B$49:$C$88,2,FALSE)</f>
        <v>Carcassone</v>
      </c>
      <c r="H54" s="22" t="s">
        <v>112</v>
      </c>
      <c r="J54" s="17" t="str">
        <f>VLOOKUP(39,Criteres!$B$49:$C$88,2,FALSE)</f>
        <v>Calais</v>
      </c>
    </row>
    <row r="55" spans="3:11" x14ac:dyDescent="0.2">
      <c r="C55" s="21"/>
      <c r="E55" s="17"/>
      <c r="H55" s="22"/>
      <c r="J55" s="17"/>
    </row>
    <row r="56" spans="3:11" x14ac:dyDescent="0.2">
      <c r="C56" s="21" t="s">
        <v>100</v>
      </c>
      <c r="E56" s="91" t="str">
        <f>VLOOKUP(2,Criteres!$B$49:$C$88,2,FALSE)</f>
        <v>Nancy</v>
      </c>
      <c r="H56" s="22" t="s">
        <v>113</v>
      </c>
      <c r="J56" s="17" t="str">
        <f>VLOOKUP(38,Criteres!$B$49:$C$88,2,FALSE)</f>
        <v>Le Havre</v>
      </c>
    </row>
    <row r="57" spans="3:11" x14ac:dyDescent="0.2">
      <c r="C57" s="21"/>
      <c r="E57" s="17"/>
      <c r="H57" s="22"/>
      <c r="J57" s="17"/>
    </row>
    <row r="58" spans="3:11" x14ac:dyDescent="0.2">
      <c r="C58" s="21" t="s">
        <v>101</v>
      </c>
      <c r="E58" s="17" t="e">
        <f>VLOOKUP(3,Criteres!$B$49:$C$88,2,FALSE)</f>
        <v>#N/A</v>
      </c>
      <c r="H58" s="22" t="s">
        <v>114</v>
      </c>
      <c r="J58" s="17" t="e">
        <f>VLOOKUP(37,Criteres!$B$49:$C$88,2,FALSE)</f>
        <v>#N/A</v>
      </c>
    </row>
    <row r="59" spans="3:11" x14ac:dyDescent="0.2">
      <c r="C59" s="21"/>
      <c r="E59" s="17"/>
      <c r="H59" s="22"/>
      <c r="J59" s="17"/>
    </row>
    <row r="60" spans="3:11" x14ac:dyDescent="0.2">
      <c r="C60" s="21" t="s">
        <v>102</v>
      </c>
      <c r="E60" s="17" t="str">
        <f>VLOOKUP(4,Criteres!$B$49:$C$88,2,FALSE)</f>
        <v>Quimper</v>
      </c>
      <c r="H60" s="22" t="s">
        <v>115</v>
      </c>
      <c r="J60" s="17" t="str">
        <f>VLOOKUP(36,Criteres!$B$49:$C$88,2,FALSE)</f>
        <v>Brest</v>
      </c>
    </row>
    <row r="61" spans="3:11" x14ac:dyDescent="0.2">
      <c r="C61" s="21"/>
      <c r="E61" s="17"/>
      <c r="H61" s="22"/>
      <c r="J61" s="17"/>
    </row>
    <row r="62" spans="3:11" x14ac:dyDescent="0.2">
      <c r="C62" s="21" t="s">
        <v>103</v>
      </c>
      <c r="E62" s="17" t="str">
        <f>VLOOKUP(5,Criteres!$B$49:$C$88,2,FALSE)</f>
        <v>Metz</v>
      </c>
      <c r="H62" s="22" t="s">
        <v>116</v>
      </c>
      <c r="J62" s="17" t="e">
        <f>VLOOKUP(35,Criteres!$B$49:$C$88,2,FALSE)</f>
        <v>#N/A</v>
      </c>
    </row>
    <row r="63" spans="3:11" x14ac:dyDescent="0.2">
      <c r="C63" s="21"/>
      <c r="E63" s="17"/>
      <c r="H63" s="22"/>
      <c r="J63" s="17"/>
    </row>
    <row r="64" spans="3:11" x14ac:dyDescent="0.2">
      <c r="C64" s="21" t="s">
        <v>104</v>
      </c>
      <c r="E64" s="17" t="e">
        <f>VLOOKUP(6,Criteres!$B$49:$C$88,2,FALSE)</f>
        <v>#N/A</v>
      </c>
      <c r="H64" s="22" t="s">
        <v>117</v>
      </c>
      <c r="J64" s="17" t="e">
        <f>VLOOKUP(34,Criteres!$B$49:$C$88,2,FALSE)</f>
        <v>#N/A</v>
      </c>
    </row>
    <row r="65" spans="3:10" x14ac:dyDescent="0.2">
      <c r="C65" s="21"/>
      <c r="E65" s="17"/>
      <c r="H65" s="22"/>
      <c r="J65" s="17"/>
    </row>
    <row r="66" spans="3:10" x14ac:dyDescent="0.2">
      <c r="C66" s="21" t="s">
        <v>105</v>
      </c>
      <c r="E66" s="17" t="str">
        <f>VLOOKUP(7,Criteres!$B$49:$C$88,2,FALSE)</f>
        <v>Strasbourg</v>
      </c>
      <c r="H66" s="22" t="s">
        <v>118</v>
      </c>
      <c r="J66" s="17" t="str">
        <f>VLOOKUP(33,Criteres!$B$49:$C$88,2,FALSE)</f>
        <v>Lille</v>
      </c>
    </row>
    <row r="67" spans="3:10" x14ac:dyDescent="0.2">
      <c r="C67" s="21"/>
      <c r="E67" s="17"/>
      <c r="H67" s="22"/>
      <c r="J67" s="17"/>
    </row>
    <row r="68" spans="3:10" x14ac:dyDescent="0.2">
      <c r="C68" s="21" t="s">
        <v>106</v>
      </c>
      <c r="E68" s="17" t="e">
        <f>VLOOKUP(8,Criteres!$B$49:$C$88,2,FALSE)</f>
        <v>#N/A</v>
      </c>
      <c r="H68" s="22" t="s">
        <v>119</v>
      </c>
      <c r="J68" s="17" t="e">
        <f>VLOOKUP(32,Criteres!$B$49:$C$88,2,FALSE)</f>
        <v>#N/A</v>
      </c>
    </row>
    <row r="69" spans="3:10" x14ac:dyDescent="0.2">
      <c r="C69" s="21"/>
      <c r="E69" s="17"/>
      <c r="H69" s="22"/>
      <c r="J69" s="17"/>
    </row>
    <row r="70" spans="3:10" x14ac:dyDescent="0.2">
      <c r="C70" s="21" t="s">
        <v>107</v>
      </c>
      <c r="E70" s="17" t="e">
        <f>VLOOKUP(9,Criteres!$B$49:$C$88,2,FALSE)</f>
        <v>#N/A</v>
      </c>
      <c r="H70" s="22" t="s">
        <v>120</v>
      </c>
      <c r="J70" s="17" t="e">
        <f>VLOOKUP(31,Criteres!$B$49:$C$88,2,FALSE)</f>
        <v>#N/A</v>
      </c>
    </row>
    <row r="71" spans="3:10" x14ac:dyDescent="0.2">
      <c r="C71" s="21"/>
      <c r="E71" s="17"/>
      <c r="H71" s="22"/>
      <c r="J71" s="17"/>
    </row>
    <row r="72" spans="3:10" x14ac:dyDescent="0.2">
      <c r="C72" s="21" t="s">
        <v>108</v>
      </c>
      <c r="E72" s="17" t="e">
        <f>VLOOKUP(10,Criteres!$B$49:$C$88,2,FALSE)</f>
        <v>#N/A</v>
      </c>
      <c r="H72" s="22" t="s">
        <v>121</v>
      </c>
      <c r="J72" s="17" t="str">
        <f>VLOOKUP(30,Criteres!$B$49:$C$88,2,FALSE)</f>
        <v>Meaux</v>
      </c>
    </row>
  </sheetData>
  <mergeCells count="10">
    <mergeCell ref="D52:F52"/>
    <mergeCell ref="I52:K52"/>
    <mergeCell ref="S33:T33"/>
    <mergeCell ref="O27:T28"/>
    <mergeCell ref="O29:T32"/>
    <mergeCell ref="O34:T34"/>
    <mergeCell ref="L33:M33"/>
    <mergeCell ref="L34:M34"/>
    <mergeCell ref="O33:P33"/>
    <mergeCell ref="Q33:R33"/>
  </mergeCells>
  <conditionalFormatting sqref="C53:J73 C52:D52 G52:I52">
    <cfRule type="containsErrors" dxfId="11" priority="13">
      <formula>ISERROR(C52)</formula>
    </cfRule>
  </conditionalFormatting>
  <conditionalFormatting sqref="L33:M42">
    <cfRule type="containsErrors" dxfId="10" priority="11">
      <formula>ISERROR(L33)</formula>
    </cfRule>
  </conditionalFormatting>
  <conditionalFormatting sqref="O35:O42">
    <cfRule type="containsErrors" dxfId="9" priority="10">
      <formula>ISERROR(O35)</formula>
    </cfRule>
  </conditionalFormatting>
  <conditionalFormatting sqref="Q35:Q42">
    <cfRule type="containsErrors" dxfId="8" priority="9">
      <formula>ISERROR(Q35)</formula>
    </cfRule>
  </conditionalFormatting>
  <conditionalFormatting sqref="S35:S42">
    <cfRule type="containsErrors" dxfId="7" priority="8">
      <formula>ISERROR(S35)</formula>
    </cfRule>
  </conditionalFormatting>
  <conditionalFormatting sqref="O27:T42">
    <cfRule type="containsErrors" dxfId="6" priority="3">
      <formula>ISERROR(O27)</formula>
    </cfRule>
    <cfRule type="containsErrors" dxfId="5" priority="6">
      <formula>ISERROR(O27)</formula>
    </cfRule>
  </conditionalFormatting>
  <conditionalFormatting sqref="Q35:Q42">
    <cfRule type="containsErrors" dxfId="4" priority="5">
      <formula>ISERROR(Q35)</formula>
    </cfRule>
  </conditionalFormatting>
  <conditionalFormatting sqref="S35:S42">
    <cfRule type="containsErrors" dxfId="3" priority="4">
      <formula>ISERROR(S35)</formula>
    </cfRule>
  </conditionalFormatting>
  <conditionalFormatting sqref="L43:M43">
    <cfRule type="containsErrors" dxfId="2" priority="2">
      <formula>ISERROR(L43)</formula>
    </cfRule>
  </conditionalFormatting>
  <conditionalFormatting sqref="L31">
    <cfRule type="containsErrors" dxfId="1" priority="14">
      <formula>ISERROR(L31)</formula>
    </cfRule>
  </conditionalFormatting>
  <dataValidations count="1">
    <dataValidation type="list" allowBlank="1" showInputMessage="1" showErrorMessage="1" sqref="L22:Q22 L25:Q25 L13:Q13 L16:Q16 L19:Q19" xr:uid="{00000000-0002-0000-0100-000000000000}">
      <formula1>$S$1:$S$9</formula1>
    </dataValidation>
  </dataValidations>
  <pageMargins left="0.7" right="0.7" top="0.75" bottom="0.75" header="0.3" footer="0.3"/>
  <pageSetup paperSize="9" orientation="portrait" horizontalDpi="4294967292" verticalDpi="4294967292"/>
  <ignoredErrors>
    <ignoredError sqref="C54:J72 L32:M37 O27:T32 P33:T33 O34:T34 S35:T42 O35:O42 O33 M42 L43:M43 L42 L40:M41 M39 M38 L38:L39" evalError="1"/>
    <ignoredError sqref="P35:R42" evalError="1" formula="1"/>
  </ignoredErrors>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A1:I33"/>
  <sheetViews>
    <sheetView showGridLines="0" workbookViewId="0">
      <selection activeCell="C11" sqref="C11"/>
    </sheetView>
  </sheetViews>
  <sheetFormatPr baseColWidth="10" defaultColWidth="11.5" defaultRowHeight="15" x14ac:dyDescent="0.2"/>
  <cols>
    <col min="3" max="3" width="50.6640625" customWidth="1"/>
    <col min="4" max="4" width="25.33203125" bestFit="1" customWidth="1"/>
    <col min="5" max="5" width="25.5" customWidth="1"/>
    <col min="6" max="6" width="15.5" customWidth="1"/>
  </cols>
  <sheetData>
    <row r="1" spans="1:9" ht="16" thickBot="1" x14ac:dyDescent="0.25">
      <c r="A1" s="77"/>
      <c r="C1" t="s">
        <v>205</v>
      </c>
      <c r="D1" s="36" t="s">
        <v>193</v>
      </c>
      <c r="E1" s="36" t="s">
        <v>194</v>
      </c>
      <c r="I1" t="s">
        <v>13</v>
      </c>
    </row>
    <row r="2" spans="1:9" ht="16" thickBot="1" x14ac:dyDescent="0.25">
      <c r="A2" s="79"/>
      <c r="C2" t="e">
        <f>VLOOKUP(RegionChoisie,D2:E14,2,FALSE)</f>
        <v>#N/A</v>
      </c>
      <c r="D2" s="24" t="s">
        <v>1</v>
      </c>
      <c r="E2" s="25" t="s">
        <v>185</v>
      </c>
    </row>
    <row r="3" spans="1:9" ht="16" thickBot="1" x14ac:dyDescent="0.25">
      <c r="A3" s="81" t="s">
        <v>142</v>
      </c>
      <c r="D3" s="26" t="s">
        <v>2</v>
      </c>
      <c r="E3" s="27" t="s">
        <v>186</v>
      </c>
    </row>
    <row r="4" spans="1:9" ht="16" thickBot="1" x14ac:dyDescent="0.25">
      <c r="A4" s="82" t="s">
        <v>122</v>
      </c>
      <c r="D4" s="26" t="s">
        <v>3</v>
      </c>
      <c r="E4" s="27" t="s">
        <v>187</v>
      </c>
    </row>
    <row r="5" spans="1:9" x14ac:dyDescent="0.2">
      <c r="A5" s="80"/>
      <c r="D5" s="26" t="s">
        <v>4</v>
      </c>
      <c r="E5" s="27" t="s">
        <v>4</v>
      </c>
    </row>
    <row r="6" spans="1:9" x14ac:dyDescent="0.2">
      <c r="A6" s="78"/>
      <c r="D6" s="26" t="s">
        <v>0</v>
      </c>
      <c r="E6" s="27" t="s">
        <v>188</v>
      </c>
    </row>
    <row r="7" spans="1:9" x14ac:dyDescent="0.2">
      <c r="D7" s="26" t="s">
        <v>5</v>
      </c>
      <c r="E7" s="27" t="s">
        <v>5</v>
      </c>
    </row>
    <row r="8" spans="1:9" x14ac:dyDescent="0.2">
      <c r="D8" s="26" t="s">
        <v>6</v>
      </c>
      <c r="E8" s="27" t="s">
        <v>6</v>
      </c>
    </row>
    <row r="9" spans="1:9" x14ac:dyDescent="0.2">
      <c r="D9" s="26" t="s">
        <v>7</v>
      </c>
      <c r="E9" s="27" t="s">
        <v>189</v>
      </c>
    </row>
    <row r="10" spans="1:9" x14ac:dyDescent="0.2">
      <c r="D10" s="26" t="s">
        <v>8</v>
      </c>
      <c r="E10" s="27" t="s">
        <v>8</v>
      </c>
    </row>
    <row r="11" spans="1:9" x14ac:dyDescent="0.2">
      <c r="D11" s="26" t="s">
        <v>9</v>
      </c>
      <c r="E11" s="27" t="s">
        <v>190</v>
      </c>
    </row>
    <row r="12" spans="1:9" x14ac:dyDescent="0.2">
      <c r="D12" s="26" t="s">
        <v>10</v>
      </c>
      <c r="E12" s="27" t="s">
        <v>191</v>
      </c>
    </row>
    <row r="13" spans="1:9" x14ac:dyDescent="0.2">
      <c r="D13" s="26" t="s">
        <v>11</v>
      </c>
      <c r="E13" s="27" t="s">
        <v>11</v>
      </c>
    </row>
    <row r="14" spans="1:9" x14ac:dyDescent="0.2">
      <c r="D14" s="28" t="s">
        <v>12</v>
      </c>
      <c r="E14" s="29" t="s">
        <v>192</v>
      </c>
    </row>
    <row r="19" spans="3:6" ht="16" thickBot="1" x14ac:dyDescent="0.25"/>
    <row r="20" spans="3:6" ht="28" customHeight="1" thickBot="1" x14ac:dyDescent="0.25">
      <c r="C20" s="31" t="s">
        <v>142</v>
      </c>
      <c r="D20" s="32" t="s">
        <v>195</v>
      </c>
      <c r="E20" s="32" t="s">
        <v>196</v>
      </c>
      <c r="F20" s="33" t="s">
        <v>197</v>
      </c>
    </row>
    <row r="21" spans="3:6" x14ac:dyDescent="0.2">
      <c r="C21" s="34" t="s">
        <v>185</v>
      </c>
      <c r="D21" s="34" t="s">
        <v>82</v>
      </c>
      <c r="E21" s="34" t="s">
        <v>80</v>
      </c>
      <c r="F21" s="34" t="s">
        <v>81</v>
      </c>
    </row>
    <row r="22" spans="3:6" x14ac:dyDescent="0.2">
      <c r="C22" s="35" t="s">
        <v>186</v>
      </c>
      <c r="D22" s="35" t="s">
        <v>68</v>
      </c>
      <c r="E22" s="35" t="s">
        <v>69</v>
      </c>
      <c r="F22" s="35" t="s">
        <v>67</v>
      </c>
    </row>
    <row r="23" spans="3:6" x14ac:dyDescent="0.2">
      <c r="C23" s="35" t="s">
        <v>187</v>
      </c>
      <c r="D23" s="35" t="s">
        <v>17</v>
      </c>
      <c r="E23" s="35" t="s">
        <v>70</v>
      </c>
      <c r="F23" s="35" t="s">
        <v>71</v>
      </c>
    </row>
    <row r="24" spans="3:6" x14ac:dyDescent="0.2">
      <c r="C24" s="35" t="s">
        <v>4</v>
      </c>
      <c r="D24" s="35" t="s">
        <v>78</v>
      </c>
      <c r="E24" s="35" t="s">
        <v>79</v>
      </c>
      <c r="F24" s="35" t="s">
        <v>15</v>
      </c>
    </row>
    <row r="25" spans="3:6" x14ac:dyDescent="0.2">
      <c r="C25" s="35" t="s">
        <v>188</v>
      </c>
      <c r="D25" s="35" t="s">
        <v>61</v>
      </c>
      <c r="E25" s="35" t="s">
        <v>62</v>
      </c>
      <c r="F25" s="35" t="s">
        <v>63</v>
      </c>
    </row>
    <row r="26" spans="3:6" x14ac:dyDescent="0.2">
      <c r="C26" s="35" t="s">
        <v>5</v>
      </c>
      <c r="D26" s="35" t="s">
        <v>65</v>
      </c>
      <c r="E26" s="35" t="s">
        <v>64</v>
      </c>
      <c r="F26" s="35" t="s">
        <v>66</v>
      </c>
    </row>
    <row r="27" spans="3:6" x14ac:dyDescent="0.2">
      <c r="C27" s="35" t="s">
        <v>6</v>
      </c>
      <c r="D27" s="35" t="s">
        <v>72</v>
      </c>
      <c r="E27" s="35" t="s">
        <v>73</v>
      </c>
      <c r="F27" s="35" t="s">
        <v>74</v>
      </c>
    </row>
    <row r="28" spans="3:6" x14ac:dyDescent="0.2">
      <c r="C28" s="35" t="s">
        <v>189</v>
      </c>
      <c r="D28" s="35" t="s">
        <v>77</v>
      </c>
      <c r="E28" s="35" t="s">
        <v>76</v>
      </c>
      <c r="F28" s="35" t="s">
        <v>75</v>
      </c>
    </row>
    <row r="29" spans="3:6" x14ac:dyDescent="0.2">
      <c r="C29" s="35" t="s">
        <v>8</v>
      </c>
      <c r="D29" s="35" t="s">
        <v>16</v>
      </c>
      <c r="E29" s="35" t="s">
        <v>83</v>
      </c>
      <c r="F29" s="35" t="s">
        <v>84</v>
      </c>
    </row>
    <row r="30" spans="3:6" x14ac:dyDescent="0.2">
      <c r="C30" s="35" t="s">
        <v>190</v>
      </c>
      <c r="D30" s="35" t="s">
        <v>90</v>
      </c>
      <c r="E30" s="35" t="s">
        <v>89</v>
      </c>
      <c r="F30" s="35" t="s">
        <v>88</v>
      </c>
    </row>
    <row r="31" spans="3:6" x14ac:dyDescent="0.2">
      <c r="C31" s="35" t="s">
        <v>191</v>
      </c>
      <c r="D31" s="35" t="s">
        <v>92</v>
      </c>
      <c r="E31" s="35" t="s">
        <v>93</v>
      </c>
      <c r="F31" s="35" t="s">
        <v>91</v>
      </c>
    </row>
    <row r="32" spans="3:6" x14ac:dyDescent="0.2">
      <c r="C32" s="35" t="s">
        <v>11</v>
      </c>
      <c r="D32" s="35" t="s">
        <v>95</v>
      </c>
      <c r="E32" s="35" t="s">
        <v>96</v>
      </c>
      <c r="F32" s="35" t="s">
        <v>94</v>
      </c>
    </row>
    <row r="33" spans="3:6" x14ac:dyDescent="0.2">
      <c r="C33" s="35" t="s">
        <v>192</v>
      </c>
      <c r="D33" s="35" t="s">
        <v>87</v>
      </c>
      <c r="E33" s="35" t="s">
        <v>85</v>
      </c>
      <c r="F33" s="35" t="s">
        <v>86</v>
      </c>
    </row>
  </sheetData>
  <pageMargins left="0.7" right="0.7" top="0.75" bottom="0.75" header="0.3" footer="0.3"/>
  <pageSetup paperSize="9" orientation="portrait" horizontalDpi="4294967292" verticalDpi="4294967292"/>
  <ignoredErrors>
    <ignoredError sqref="C2" evalError="1"/>
  </ignoredError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G42"/>
  <sheetViews>
    <sheetView showGridLines="0" workbookViewId="0">
      <selection activeCell="C17" sqref="C17"/>
    </sheetView>
  </sheetViews>
  <sheetFormatPr baseColWidth="10" defaultColWidth="9.1640625" defaultRowHeight="15" x14ac:dyDescent="0.2"/>
  <cols>
    <col min="1" max="4" width="21.6640625" style="68" customWidth="1"/>
    <col min="5" max="5" width="21.6640625" style="70" customWidth="1"/>
    <col min="6" max="6" width="25.1640625" style="70" bestFit="1" customWidth="1"/>
    <col min="7" max="7" width="21.6640625" style="68" customWidth="1"/>
    <col min="8" max="16384" width="9.1640625" style="68"/>
  </cols>
  <sheetData>
    <row r="1" spans="1:7" x14ac:dyDescent="0.2">
      <c r="D1" s="69"/>
      <c r="E1" s="127" t="s">
        <v>184</v>
      </c>
      <c r="F1" s="127"/>
      <c r="G1" s="69"/>
    </row>
    <row r="3" spans="1:7" ht="22.5" customHeight="1" x14ac:dyDescent="0.2">
      <c r="D3" s="71"/>
      <c r="E3" s="74" t="s">
        <v>109</v>
      </c>
      <c r="F3" s="74" t="s">
        <v>122</v>
      </c>
      <c r="G3" s="72"/>
    </row>
    <row r="4" spans="1:7" ht="22.5" customHeight="1" x14ac:dyDescent="0.2">
      <c r="D4" s="71"/>
      <c r="E4" s="75" t="s">
        <v>177</v>
      </c>
      <c r="F4" s="75" t="s">
        <v>61</v>
      </c>
      <c r="G4" s="71"/>
    </row>
    <row r="5" spans="1:7" ht="22.5" customHeight="1" x14ac:dyDescent="0.2">
      <c r="E5" s="76" t="s">
        <v>178</v>
      </c>
      <c r="F5" s="75" t="s">
        <v>62</v>
      </c>
    </row>
    <row r="6" spans="1:7" ht="22.5" customHeight="1" x14ac:dyDescent="0.2">
      <c r="E6" s="76" t="s">
        <v>179</v>
      </c>
      <c r="F6" s="75" t="s">
        <v>63</v>
      </c>
    </row>
    <row r="7" spans="1:7" ht="22.5" customHeight="1" x14ac:dyDescent="0.2">
      <c r="D7" s="73"/>
      <c r="E7" s="76" t="s">
        <v>180</v>
      </c>
      <c r="F7" s="75" t="s">
        <v>64</v>
      </c>
    </row>
    <row r="8" spans="1:7" ht="22.5" customHeight="1" x14ac:dyDescent="0.2">
      <c r="E8" s="76" t="s">
        <v>181</v>
      </c>
      <c r="F8" s="75" t="s">
        <v>65</v>
      </c>
    </row>
    <row r="9" spans="1:7" ht="22.5" customHeight="1" x14ac:dyDescent="0.2">
      <c r="E9" s="76" t="s">
        <v>182</v>
      </c>
      <c r="F9" s="75" t="s">
        <v>66</v>
      </c>
    </row>
    <row r="10" spans="1:7" x14ac:dyDescent="0.2">
      <c r="E10" s="76" t="s">
        <v>143</v>
      </c>
      <c r="F10" s="75" t="s">
        <v>67</v>
      </c>
    </row>
    <row r="11" spans="1:7" ht="16" thickBot="1" x14ac:dyDescent="0.25">
      <c r="E11" s="76" t="s">
        <v>144</v>
      </c>
      <c r="F11" s="75" t="s">
        <v>68</v>
      </c>
    </row>
    <row r="12" spans="1:7" x14ac:dyDescent="0.2">
      <c r="A12" s="128" t="s">
        <v>199</v>
      </c>
      <c r="B12" s="129"/>
      <c r="E12" s="76" t="s">
        <v>146</v>
      </c>
      <c r="F12" s="75" t="s">
        <v>69</v>
      </c>
    </row>
    <row r="13" spans="1:7" x14ac:dyDescent="0.2">
      <c r="A13" s="130"/>
      <c r="B13" s="131"/>
      <c r="E13" s="76" t="s">
        <v>147</v>
      </c>
      <c r="F13" s="75" t="s">
        <v>17</v>
      </c>
    </row>
    <row r="14" spans="1:7" x14ac:dyDescent="0.2">
      <c r="A14" s="23" t="s">
        <v>145</v>
      </c>
      <c r="B14" s="23" t="s">
        <v>183</v>
      </c>
      <c r="E14" s="76" t="s">
        <v>149</v>
      </c>
      <c r="F14" s="75" t="s">
        <v>70</v>
      </c>
    </row>
    <row r="15" spans="1:7" x14ac:dyDescent="0.2">
      <c r="A15" s="23" t="s">
        <v>147</v>
      </c>
      <c r="B15" s="23" t="str">
        <f>VLOOKUP(VilleChoisie,E4:F42,2,FALSE)</f>
        <v>Paris</v>
      </c>
      <c r="E15" s="76" t="s">
        <v>148</v>
      </c>
      <c r="F15" s="75" t="s">
        <v>71</v>
      </c>
    </row>
    <row r="16" spans="1:7" x14ac:dyDescent="0.2">
      <c r="E16" s="76" t="s">
        <v>150</v>
      </c>
      <c r="F16" s="75" t="s">
        <v>72</v>
      </c>
    </row>
    <row r="17" spans="5:6" x14ac:dyDescent="0.2">
      <c r="E17" s="76" t="s">
        <v>151</v>
      </c>
      <c r="F17" s="75" t="s">
        <v>73</v>
      </c>
    </row>
    <row r="18" spans="5:6" x14ac:dyDescent="0.2">
      <c r="E18" s="76" t="s">
        <v>152</v>
      </c>
      <c r="F18" s="75" t="s">
        <v>74</v>
      </c>
    </row>
    <row r="19" spans="5:6" x14ac:dyDescent="0.2">
      <c r="E19" s="76" t="s">
        <v>153</v>
      </c>
      <c r="F19" s="75" t="s">
        <v>75</v>
      </c>
    </row>
    <row r="20" spans="5:6" x14ac:dyDescent="0.2">
      <c r="E20" s="76" t="s">
        <v>154</v>
      </c>
      <c r="F20" s="75" t="s">
        <v>76</v>
      </c>
    </row>
    <row r="21" spans="5:6" x14ac:dyDescent="0.2">
      <c r="E21" s="76" t="s">
        <v>155</v>
      </c>
      <c r="F21" s="75" t="s">
        <v>77</v>
      </c>
    </row>
    <row r="22" spans="5:6" x14ac:dyDescent="0.2">
      <c r="E22" s="76" t="s">
        <v>156</v>
      </c>
      <c r="F22" s="75" t="s">
        <v>15</v>
      </c>
    </row>
    <row r="23" spans="5:6" x14ac:dyDescent="0.2">
      <c r="E23" s="76" t="s">
        <v>157</v>
      </c>
      <c r="F23" s="75" t="s">
        <v>78</v>
      </c>
    </row>
    <row r="24" spans="5:6" x14ac:dyDescent="0.2">
      <c r="E24" s="76" t="s">
        <v>158</v>
      </c>
      <c r="F24" s="75" t="s">
        <v>79</v>
      </c>
    </row>
    <row r="25" spans="5:6" x14ac:dyDescent="0.2">
      <c r="E25" s="76" t="s">
        <v>159</v>
      </c>
      <c r="F25" s="75" t="s">
        <v>80</v>
      </c>
    </row>
    <row r="26" spans="5:6" x14ac:dyDescent="0.2">
      <c r="E26" s="76" t="s">
        <v>160</v>
      </c>
      <c r="F26" s="75" t="s">
        <v>81</v>
      </c>
    </row>
    <row r="27" spans="5:6" x14ac:dyDescent="0.2">
      <c r="E27" s="76" t="s">
        <v>161</v>
      </c>
      <c r="F27" s="75" t="s">
        <v>82</v>
      </c>
    </row>
    <row r="28" spans="5:6" x14ac:dyDescent="0.2">
      <c r="E28" s="76" t="s">
        <v>162</v>
      </c>
      <c r="F28" s="75" t="s">
        <v>16</v>
      </c>
    </row>
    <row r="29" spans="5:6" x14ac:dyDescent="0.2">
      <c r="E29" s="76" t="s">
        <v>163</v>
      </c>
      <c r="F29" s="75" t="s">
        <v>83</v>
      </c>
    </row>
    <row r="30" spans="5:6" x14ac:dyDescent="0.2">
      <c r="E30" s="76" t="s">
        <v>164</v>
      </c>
      <c r="F30" s="75" t="s">
        <v>84</v>
      </c>
    </row>
    <row r="31" spans="5:6" x14ac:dyDescent="0.2">
      <c r="E31" s="76" t="s">
        <v>165</v>
      </c>
      <c r="F31" s="75" t="s">
        <v>85</v>
      </c>
    </row>
    <row r="32" spans="5:6" x14ac:dyDescent="0.2">
      <c r="E32" s="76" t="s">
        <v>166</v>
      </c>
      <c r="F32" s="75" t="s">
        <v>86</v>
      </c>
    </row>
    <row r="33" spans="5:6" x14ac:dyDescent="0.2">
      <c r="E33" s="76" t="s">
        <v>167</v>
      </c>
      <c r="F33" s="75" t="s">
        <v>87</v>
      </c>
    </row>
    <row r="34" spans="5:6" x14ac:dyDescent="0.2">
      <c r="E34" s="76" t="s">
        <v>168</v>
      </c>
      <c r="F34" s="75" t="s">
        <v>88</v>
      </c>
    </row>
    <row r="35" spans="5:6" x14ac:dyDescent="0.2">
      <c r="E35" s="76" t="s">
        <v>169</v>
      </c>
      <c r="F35" s="75" t="s">
        <v>89</v>
      </c>
    </row>
    <row r="36" spans="5:6" x14ac:dyDescent="0.2">
      <c r="E36" s="76" t="s">
        <v>170</v>
      </c>
      <c r="F36" s="75" t="s">
        <v>90</v>
      </c>
    </row>
    <row r="37" spans="5:6" x14ac:dyDescent="0.2">
      <c r="E37" s="76" t="s">
        <v>171</v>
      </c>
      <c r="F37" s="75" t="s">
        <v>91</v>
      </c>
    </row>
    <row r="38" spans="5:6" x14ac:dyDescent="0.2">
      <c r="E38" s="76" t="s">
        <v>172</v>
      </c>
      <c r="F38" s="75" t="s">
        <v>92</v>
      </c>
    </row>
    <row r="39" spans="5:6" x14ac:dyDescent="0.2">
      <c r="E39" s="76" t="s">
        <v>173</v>
      </c>
      <c r="F39" s="75" t="s">
        <v>93</v>
      </c>
    </row>
    <row r="40" spans="5:6" x14ac:dyDescent="0.2">
      <c r="E40" s="76" t="s">
        <v>174</v>
      </c>
      <c r="F40" s="75" t="s">
        <v>94</v>
      </c>
    </row>
    <row r="41" spans="5:6" x14ac:dyDescent="0.2">
      <c r="E41" s="76" t="s">
        <v>175</v>
      </c>
      <c r="F41" s="75" t="s">
        <v>95</v>
      </c>
    </row>
    <row r="42" spans="5:6" x14ac:dyDescent="0.2">
      <c r="E42" s="76" t="s">
        <v>176</v>
      </c>
      <c r="F42" s="75" t="s">
        <v>96</v>
      </c>
    </row>
  </sheetData>
  <mergeCells count="2">
    <mergeCell ref="E1:F1"/>
    <mergeCell ref="A12:B13"/>
  </mergeCells>
  <pageMargins left="0.7" right="0.7" top="0.75" bottom="0.75" header="0.3" footer="0.3"/>
  <pageSetup paperSize="9" orientation="portrait"/>
  <ignoredErrors>
    <ignoredError sqref="B15" evalError="1"/>
  </ignoredError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3"/>
  <dimension ref="A1:U100"/>
  <sheetViews>
    <sheetView showGridLines="0" workbookViewId="0">
      <selection activeCell="K4" sqref="K4"/>
    </sheetView>
  </sheetViews>
  <sheetFormatPr baseColWidth="10" defaultColWidth="11.5" defaultRowHeight="15" x14ac:dyDescent="0.2"/>
  <cols>
    <col min="2" max="3" width="25.33203125" bestFit="1" customWidth="1"/>
    <col min="4" max="4" width="16.83203125" bestFit="1" customWidth="1"/>
    <col min="5" max="5" width="17.83203125" bestFit="1" customWidth="1"/>
    <col min="6" max="6" width="23.83203125" bestFit="1" customWidth="1"/>
    <col min="7" max="7" width="17.5" customWidth="1"/>
    <col min="8" max="8" width="21.83203125" bestFit="1" customWidth="1"/>
    <col min="9" max="9" width="16.6640625" bestFit="1" customWidth="1"/>
    <col min="10" max="10" width="15.1640625" bestFit="1" customWidth="1"/>
    <col min="11" max="11" width="16.83203125" bestFit="1" customWidth="1"/>
    <col min="12" max="12" width="19.6640625" bestFit="1" customWidth="1"/>
    <col min="14" max="14" width="16.1640625" customWidth="1"/>
    <col min="16" max="16" width="20.33203125" bestFit="1" customWidth="1"/>
    <col min="17" max="17" width="17.5" customWidth="1"/>
  </cols>
  <sheetData>
    <row r="1" spans="1:11" ht="31" customHeight="1" x14ac:dyDescent="0.2">
      <c r="A1" s="133" t="s">
        <v>27</v>
      </c>
      <c r="B1" s="133"/>
      <c r="C1" s="133"/>
      <c r="D1" s="133"/>
      <c r="E1" s="133"/>
      <c r="F1" s="133"/>
      <c r="G1" s="133"/>
      <c r="H1" s="133"/>
      <c r="I1" s="133"/>
      <c r="J1" s="133"/>
      <c r="K1" s="133"/>
    </row>
    <row r="2" spans="1:11" ht="16" thickBot="1" x14ac:dyDescent="0.25"/>
    <row r="3" spans="1:11" ht="16" thickBot="1" x14ac:dyDescent="0.25">
      <c r="A3" s="42" t="s">
        <v>14</v>
      </c>
      <c r="B3" s="40" t="s">
        <v>124</v>
      </c>
      <c r="C3" s="40" t="s">
        <v>125</v>
      </c>
      <c r="D3" s="40" t="s">
        <v>126</v>
      </c>
      <c r="E3" s="40" t="s">
        <v>127</v>
      </c>
      <c r="F3" s="40" t="s">
        <v>128</v>
      </c>
      <c r="G3" s="40" t="s">
        <v>129</v>
      </c>
      <c r="H3" s="40" t="s">
        <v>130</v>
      </c>
      <c r="I3" s="40" t="s">
        <v>131</v>
      </c>
      <c r="J3" s="40" t="s">
        <v>132</v>
      </c>
      <c r="K3" s="43" t="s">
        <v>133</v>
      </c>
    </row>
    <row r="4" spans="1:11" x14ac:dyDescent="0.2">
      <c r="A4" s="44" t="s">
        <v>61</v>
      </c>
      <c r="B4" s="30">
        <v>184647</v>
      </c>
      <c r="C4" s="45">
        <v>20.32</v>
      </c>
      <c r="D4" s="30">
        <v>1158</v>
      </c>
      <c r="E4" s="30">
        <v>162</v>
      </c>
      <c r="F4" s="30">
        <v>14</v>
      </c>
      <c r="G4" s="30">
        <v>126</v>
      </c>
      <c r="H4" s="30">
        <v>2033</v>
      </c>
      <c r="I4" s="30">
        <v>104</v>
      </c>
      <c r="J4" s="46">
        <f>(E4/B4)*10000</f>
        <v>8.7734975385465237</v>
      </c>
      <c r="K4" s="47">
        <f>(F4/B4)*100000</f>
        <v>7.5820349098550199</v>
      </c>
    </row>
    <row r="5" spans="1:11" x14ac:dyDescent="0.2">
      <c r="A5" s="48" t="s">
        <v>62</v>
      </c>
      <c r="B5" s="23">
        <v>70834</v>
      </c>
      <c r="C5" s="49">
        <v>19.07</v>
      </c>
      <c r="D5" s="23">
        <v>194</v>
      </c>
      <c r="E5" s="23">
        <v>86</v>
      </c>
      <c r="F5" s="23">
        <v>2</v>
      </c>
      <c r="G5" s="23">
        <v>168</v>
      </c>
      <c r="H5" s="23">
        <v>1587</v>
      </c>
      <c r="I5" s="23">
        <v>12</v>
      </c>
      <c r="J5" s="46">
        <f t="shared" ref="J5:J42" si="0">(E5/B5)*10000</f>
        <v>12.141062201767513</v>
      </c>
      <c r="K5" s="47">
        <f t="shared" ref="K5:K42" si="1">(F5/B5)*100000</f>
        <v>2.8235028376203517</v>
      </c>
    </row>
    <row r="6" spans="1:11" x14ac:dyDescent="0.2">
      <c r="A6" s="48" t="s">
        <v>63</v>
      </c>
      <c r="B6" s="23">
        <v>77317</v>
      </c>
      <c r="C6" s="49">
        <v>24.93</v>
      </c>
      <c r="D6" s="23">
        <v>131</v>
      </c>
      <c r="E6" s="23">
        <v>63</v>
      </c>
      <c r="F6" s="23">
        <v>1</v>
      </c>
      <c r="G6" s="23">
        <v>145</v>
      </c>
      <c r="H6" s="23">
        <v>1273</v>
      </c>
      <c r="I6" s="23">
        <v>26</v>
      </c>
      <c r="J6" s="46">
        <f t="shared" si="0"/>
        <v>8.1482726955262113</v>
      </c>
      <c r="K6" s="47">
        <f t="shared" si="1"/>
        <v>1.2933766183374937</v>
      </c>
    </row>
    <row r="7" spans="1:11" x14ac:dyDescent="0.2">
      <c r="A7" s="48" t="s">
        <v>64</v>
      </c>
      <c r="B7" s="23">
        <v>25337</v>
      </c>
      <c r="C7" s="49">
        <v>19.71</v>
      </c>
      <c r="D7" s="23">
        <v>122</v>
      </c>
      <c r="E7" s="23">
        <v>42</v>
      </c>
      <c r="F7" s="23">
        <v>1</v>
      </c>
      <c r="G7" s="23">
        <v>191</v>
      </c>
      <c r="H7" s="23">
        <v>1486</v>
      </c>
      <c r="I7" s="23">
        <v>27</v>
      </c>
      <c r="J7" s="46">
        <f t="shared" si="0"/>
        <v>16.576548131191537</v>
      </c>
      <c r="K7" s="47">
        <f t="shared" si="1"/>
        <v>3.9467971740932235</v>
      </c>
    </row>
    <row r="8" spans="1:11" x14ac:dyDescent="0.2">
      <c r="A8" s="48" t="s">
        <v>65</v>
      </c>
      <c r="B8" s="23">
        <v>190924</v>
      </c>
      <c r="C8" s="49">
        <v>20.79</v>
      </c>
      <c r="D8" s="23">
        <v>306</v>
      </c>
      <c r="E8" s="23">
        <v>152</v>
      </c>
      <c r="F8" s="23">
        <v>5</v>
      </c>
      <c r="G8" s="23">
        <v>159</v>
      </c>
      <c r="H8" s="23">
        <v>1684</v>
      </c>
      <c r="I8" s="23">
        <v>34</v>
      </c>
      <c r="J8" s="46">
        <f t="shared" si="0"/>
        <v>7.9612830236114895</v>
      </c>
      <c r="K8" s="47">
        <f t="shared" si="1"/>
        <v>2.6188430998722003</v>
      </c>
    </row>
    <row r="9" spans="1:11" x14ac:dyDescent="0.2">
      <c r="A9" s="48" t="s">
        <v>66</v>
      </c>
      <c r="B9" s="23">
        <v>114007</v>
      </c>
      <c r="C9" s="49">
        <v>17.63</v>
      </c>
      <c r="D9" s="23">
        <v>346</v>
      </c>
      <c r="E9" s="23">
        <v>101</v>
      </c>
      <c r="F9" s="23">
        <v>6</v>
      </c>
      <c r="G9" s="23">
        <v>124</v>
      </c>
      <c r="H9" s="23">
        <v>2018</v>
      </c>
      <c r="I9" s="23">
        <v>42</v>
      </c>
      <c r="J9" s="46">
        <f t="shared" si="0"/>
        <v>8.859105142666678</v>
      </c>
      <c r="K9" s="47">
        <f t="shared" si="1"/>
        <v>5.2628347382178289</v>
      </c>
    </row>
    <row r="10" spans="1:11" x14ac:dyDescent="0.2">
      <c r="A10" s="48" t="s">
        <v>67</v>
      </c>
      <c r="B10" s="23">
        <v>263941</v>
      </c>
      <c r="C10" s="49">
        <v>13.6</v>
      </c>
      <c r="D10" s="23">
        <v>1174</v>
      </c>
      <c r="E10" s="23">
        <v>188</v>
      </c>
      <c r="F10" s="23">
        <v>9</v>
      </c>
      <c r="G10" s="23">
        <v>112</v>
      </c>
      <c r="H10" s="23">
        <v>2542</v>
      </c>
      <c r="I10" s="23">
        <v>129</v>
      </c>
      <c r="J10" s="46">
        <f t="shared" si="0"/>
        <v>7.1228039599759034</v>
      </c>
      <c r="K10" s="47">
        <f t="shared" si="1"/>
        <v>3.4098529595629326</v>
      </c>
    </row>
    <row r="11" spans="1:11" x14ac:dyDescent="0.2">
      <c r="A11" s="48" t="s">
        <v>68</v>
      </c>
      <c r="B11" s="23">
        <v>123704</v>
      </c>
      <c r="C11" s="49">
        <v>14.29</v>
      </c>
      <c r="D11" s="23">
        <v>369</v>
      </c>
      <c r="E11" s="23">
        <v>105</v>
      </c>
      <c r="F11" s="23">
        <v>3</v>
      </c>
      <c r="G11" s="23">
        <v>168</v>
      </c>
      <c r="H11" s="23">
        <v>1786</v>
      </c>
      <c r="I11" s="23">
        <v>30</v>
      </c>
      <c r="J11" s="46">
        <f t="shared" si="0"/>
        <v>8.4880036215482111</v>
      </c>
      <c r="K11" s="47">
        <f t="shared" si="1"/>
        <v>2.4251438918709178</v>
      </c>
    </row>
    <row r="12" spans="1:11" x14ac:dyDescent="0.2">
      <c r="A12" s="48" t="s">
        <v>69</v>
      </c>
      <c r="B12" s="23">
        <v>103552</v>
      </c>
      <c r="C12" s="49">
        <v>13.8</v>
      </c>
      <c r="D12" s="23">
        <v>479</v>
      </c>
      <c r="E12" s="23">
        <v>93</v>
      </c>
      <c r="F12" s="23">
        <v>8</v>
      </c>
      <c r="G12" s="23">
        <v>123</v>
      </c>
      <c r="H12" s="23">
        <v>1879</v>
      </c>
      <c r="I12" s="23">
        <v>41</v>
      </c>
      <c r="J12" s="46">
        <f t="shared" si="0"/>
        <v>8.9809950556242271</v>
      </c>
      <c r="K12" s="47">
        <f t="shared" si="1"/>
        <v>7.7255871446229909</v>
      </c>
    </row>
    <row r="13" spans="1:11" x14ac:dyDescent="0.2">
      <c r="A13" s="48" t="s">
        <v>17</v>
      </c>
      <c r="B13" s="23">
        <v>2125851</v>
      </c>
      <c r="C13" s="49">
        <v>12.05</v>
      </c>
      <c r="D13" s="23">
        <v>13955</v>
      </c>
      <c r="E13" s="23">
        <v>1144</v>
      </c>
      <c r="F13" s="23">
        <v>48</v>
      </c>
      <c r="G13" s="23">
        <v>111</v>
      </c>
      <c r="H13" s="23">
        <v>7837</v>
      </c>
      <c r="I13" s="23">
        <v>1804</v>
      </c>
      <c r="J13" s="46">
        <f t="shared" si="0"/>
        <v>5.3813743296214076</v>
      </c>
      <c r="K13" s="47">
        <f t="shared" si="1"/>
        <v>2.2579192991418497</v>
      </c>
    </row>
    <row r="14" spans="1:11" x14ac:dyDescent="0.2">
      <c r="A14" s="48" t="s">
        <v>70</v>
      </c>
      <c r="B14" s="23">
        <v>49348</v>
      </c>
      <c r="C14" s="49">
        <v>14.17</v>
      </c>
      <c r="D14" s="23">
        <v>94</v>
      </c>
      <c r="E14" s="23">
        <v>47</v>
      </c>
      <c r="F14" s="23">
        <v>2</v>
      </c>
      <c r="G14" s="23">
        <v>113</v>
      </c>
      <c r="H14" s="23">
        <v>2262</v>
      </c>
      <c r="I14" s="23">
        <v>6</v>
      </c>
      <c r="J14" s="46">
        <f t="shared" si="0"/>
        <v>9.524195509443139</v>
      </c>
      <c r="K14" s="47">
        <f t="shared" si="1"/>
        <v>4.0528491529545274</v>
      </c>
    </row>
    <row r="15" spans="1:11" x14ac:dyDescent="0.2">
      <c r="A15" s="48" t="s">
        <v>71</v>
      </c>
      <c r="B15" s="23">
        <v>35660</v>
      </c>
      <c r="C15" s="49">
        <v>14.05</v>
      </c>
      <c r="D15" s="23">
        <v>91</v>
      </c>
      <c r="E15" s="23">
        <v>38</v>
      </c>
      <c r="F15" s="23">
        <v>2</v>
      </c>
      <c r="G15" s="23">
        <v>117</v>
      </c>
      <c r="H15" s="23">
        <v>2257</v>
      </c>
      <c r="I15" s="23">
        <v>4</v>
      </c>
      <c r="J15" s="46">
        <f t="shared" si="0"/>
        <v>10.65619742007852</v>
      </c>
      <c r="K15" s="47">
        <f t="shared" si="1"/>
        <v>5.608524957936063</v>
      </c>
    </row>
    <row r="16" spans="1:11" x14ac:dyDescent="0.2">
      <c r="A16" s="48" t="s">
        <v>72</v>
      </c>
      <c r="B16" s="23">
        <v>149649</v>
      </c>
      <c r="C16" s="49">
        <v>16.059999999999999</v>
      </c>
      <c r="D16" s="23">
        <v>254</v>
      </c>
      <c r="E16" s="23">
        <v>100</v>
      </c>
      <c r="F16" s="23">
        <v>7</v>
      </c>
      <c r="G16" s="23">
        <v>156</v>
      </c>
      <c r="H16" s="23">
        <v>1542</v>
      </c>
      <c r="I16" s="23">
        <v>37</v>
      </c>
      <c r="J16" s="46">
        <f t="shared" si="0"/>
        <v>6.6823032562863771</v>
      </c>
      <c r="K16" s="47">
        <f t="shared" si="1"/>
        <v>4.6776122794004644</v>
      </c>
    </row>
    <row r="17" spans="1:11" x14ac:dyDescent="0.2">
      <c r="A17" s="48" t="s">
        <v>73</v>
      </c>
      <c r="B17" s="23">
        <v>63274</v>
      </c>
      <c r="C17" s="49">
        <v>13.27</v>
      </c>
      <c r="D17" s="23">
        <v>192</v>
      </c>
      <c r="E17" s="23">
        <v>55</v>
      </c>
      <c r="F17" s="23">
        <v>4</v>
      </c>
      <c r="G17" s="23">
        <v>121</v>
      </c>
      <c r="H17" s="23">
        <v>1465</v>
      </c>
      <c r="I17" s="23">
        <v>23</v>
      </c>
      <c r="J17" s="46">
        <f t="shared" si="0"/>
        <v>8.6923538894332584</v>
      </c>
      <c r="K17" s="47">
        <f t="shared" si="1"/>
        <v>6.3217119195878242</v>
      </c>
    </row>
    <row r="18" spans="1:11" x14ac:dyDescent="0.2">
      <c r="A18" s="48" t="s">
        <v>74</v>
      </c>
      <c r="B18" s="23">
        <v>206194</v>
      </c>
      <c r="C18" s="49">
        <v>13.02</v>
      </c>
      <c r="D18" s="23">
        <v>607</v>
      </c>
      <c r="E18" s="23">
        <v>135</v>
      </c>
      <c r="F18" s="23">
        <v>7</v>
      </c>
      <c r="G18" s="23">
        <v>116</v>
      </c>
      <c r="H18" s="23">
        <v>3109</v>
      </c>
      <c r="I18" s="23">
        <v>66</v>
      </c>
      <c r="J18" s="46">
        <f t="shared" si="0"/>
        <v>6.5472322182022751</v>
      </c>
      <c r="K18" s="47">
        <f t="shared" si="1"/>
        <v>3.3948611501789574</v>
      </c>
    </row>
    <row r="19" spans="1:11" x14ac:dyDescent="0.2">
      <c r="A19" s="48" t="s">
        <v>75</v>
      </c>
      <c r="B19" s="23">
        <v>270343</v>
      </c>
      <c r="C19" s="49">
        <v>17.739999999999998</v>
      </c>
      <c r="D19" s="23">
        <v>1049</v>
      </c>
      <c r="E19" s="23">
        <v>212</v>
      </c>
      <c r="F19" s="23">
        <v>17</v>
      </c>
      <c r="G19" s="23">
        <v>120</v>
      </c>
      <c r="H19" s="23">
        <v>2822</v>
      </c>
      <c r="I19" s="23">
        <v>106</v>
      </c>
      <c r="J19" s="46">
        <f t="shared" si="0"/>
        <v>7.8418897474689562</v>
      </c>
      <c r="K19" s="47">
        <f t="shared" si="1"/>
        <v>6.2883078163666157</v>
      </c>
    </row>
    <row r="20" spans="1:11" x14ac:dyDescent="0.2">
      <c r="A20" s="48" t="s">
        <v>76</v>
      </c>
      <c r="B20" s="23">
        <v>151322</v>
      </c>
      <c r="C20" s="49">
        <v>15.66</v>
      </c>
      <c r="D20" s="23">
        <v>339</v>
      </c>
      <c r="E20" s="23">
        <v>118</v>
      </c>
      <c r="F20" s="23">
        <v>5</v>
      </c>
      <c r="G20" s="23">
        <v>154</v>
      </c>
      <c r="H20" s="23">
        <v>1937</v>
      </c>
      <c r="I20" s="23">
        <v>34</v>
      </c>
      <c r="J20" s="46">
        <f t="shared" si="0"/>
        <v>7.7979408149508993</v>
      </c>
      <c r="K20" s="47">
        <f t="shared" si="1"/>
        <v>3.3042122097249575</v>
      </c>
    </row>
    <row r="21" spans="1:11" x14ac:dyDescent="0.2">
      <c r="A21" s="48" t="s">
        <v>77</v>
      </c>
      <c r="B21" s="23">
        <v>146064</v>
      </c>
      <c r="C21" s="49">
        <v>15.24</v>
      </c>
      <c r="D21" s="23">
        <v>257</v>
      </c>
      <c r="E21" s="23">
        <v>121</v>
      </c>
      <c r="F21" s="23">
        <v>2</v>
      </c>
      <c r="G21" s="23">
        <v>114</v>
      </c>
      <c r="H21" s="23">
        <v>1555</v>
      </c>
      <c r="I21" s="23">
        <v>34</v>
      </c>
      <c r="J21" s="46">
        <f t="shared" si="0"/>
        <v>8.2840398729324125</v>
      </c>
      <c r="K21" s="47">
        <f t="shared" si="1"/>
        <v>1.3692627889144484</v>
      </c>
    </row>
    <row r="22" spans="1:11" x14ac:dyDescent="0.2">
      <c r="A22" s="48" t="s">
        <v>15</v>
      </c>
      <c r="B22" s="23">
        <v>113089</v>
      </c>
      <c r="C22" s="49">
        <v>13.02</v>
      </c>
      <c r="D22" s="23">
        <v>260</v>
      </c>
      <c r="E22" s="23">
        <v>99</v>
      </c>
      <c r="F22" s="23">
        <v>2</v>
      </c>
      <c r="G22" s="23">
        <v>113</v>
      </c>
      <c r="H22" s="23">
        <v>1980</v>
      </c>
      <c r="I22" s="23">
        <v>31</v>
      </c>
      <c r="J22" s="46">
        <f t="shared" si="0"/>
        <v>8.75416707195218</v>
      </c>
      <c r="K22" s="47">
        <f t="shared" si="1"/>
        <v>1.7685186003943796</v>
      </c>
    </row>
    <row r="23" spans="1:11" x14ac:dyDescent="0.2">
      <c r="A23" s="48" t="s">
        <v>78</v>
      </c>
      <c r="B23" s="23">
        <v>132677</v>
      </c>
      <c r="C23" s="49">
        <v>16.16</v>
      </c>
      <c r="D23" s="23">
        <v>473</v>
      </c>
      <c r="E23" s="23">
        <v>113</v>
      </c>
      <c r="F23" s="23">
        <v>8</v>
      </c>
      <c r="G23" s="23">
        <v>113</v>
      </c>
      <c r="H23" s="23">
        <v>2393</v>
      </c>
      <c r="I23" s="23">
        <v>89</v>
      </c>
      <c r="J23" s="46">
        <f t="shared" si="0"/>
        <v>8.5169245611522726</v>
      </c>
      <c r="K23" s="47">
        <f t="shared" si="1"/>
        <v>6.029681105240547</v>
      </c>
    </row>
    <row r="24" spans="1:11" x14ac:dyDescent="0.2">
      <c r="A24" s="48" t="s">
        <v>79</v>
      </c>
      <c r="B24" s="23">
        <v>49062</v>
      </c>
      <c r="C24" s="49">
        <v>16.25</v>
      </c>
      <c r="D24" s="23">
        <v>149</v>
      </c>
      <c r="E24" s="23">
        <v>59</v>
      </c>
      <c r="F24" s="23">
        <v>1</v>
      </c>
      <c r="G24" s="23">
        <v>115</v>
      </c>
      <c r="H24" s="23">
        <v>1562</v>
      </c>
      <c r="I24" s="23">
        <v>29</v>
      </c>
      <c r="J24" s="46">
        <f t="shared" si="0"/>
        <v>12.025600260894377</v>
      </c>
      <c r="K24" s="47">
        <f t="shared" si="1"/>
        <v>2.0382373323549792</v>
      </c>
    </row>
    <row r="25" spans="1:11" x14ac:dyDescent="0.2">
      <c r="A25" s="48" t="s">
        <v>80</v>
      </c>
      <c r="B25" s="23">
        <v>117691</v>
      </c>
      <c r="C25" s="49">
        <v>14.62</v>
      </c>
      <c r="D25" s="23">
        <v>292</v>
      </c>
      <c r="E25" s="23">
        <v>105</v>
      </c>
      <c r="F25" s="23">
        <v>3</v>
      </c>
      <c r="G25" s="23">
        <v>140</v>
      </c>
      <c r="H25" s="23">
        <v>1914</v>
      </c>
      <c r="I25" s="23">
        <v>33</v>
      </c>
      <c r="J25" s="46">
        <f t="shared" si="0"/>
        <v>8.9216677570927256</v>
      </c>
      <c r="K25" s="47">
        <f t="shared" si="1"/>
        <v>2.5490479305979217</v>
      </c>
    </row>
    <row r="26" spans="1:11" x14ac:dyDescent="0.2">
      <c r="A26" s="48" t="s">
        <v>81</v>
      </c>
      <c r="B26" s="23">
        <v>50110</v>
      </c>
      <c r="C26" s="49">
        <v>16.96</v>
      </c>
      <c r="D26" s="23">
        <v>163</v>
      </c>
      <c r="E26" s="23">
        <v>50</v>
      </c>
      <c r="F26" s="23">
        <v>2</v>
      </c>
      <c r="G26" s="23">
        <v>136</v>
      </c>
      <c r="H26" s="23">
        <v>1378</v>
      </c>
      <c r="I26" s="23">
        <v>16</v>
      </c>
      <c r="J26" s="46">
        <f t="shared" si="0"/>
        <v>9.9780482937537407</v>
      </c>
      <c r="K26" s="47">
        <f t="shared" si="1"/>
        <v>3.9912193175014967</v>
      </c>
    </row>
    <row r="27" spans="1:11" x14ac:dyDescent="0.2">
      <c r="A27" s="48" t="s">
        <v>82</v>
      </c>
      <c r="B27" s="23">
        <v>27566</v>
      </c>
      <c r="C27" s="49">
        <v>15.24</v>
      </c>
      <c r="D27" s="23">
        <v>72</v>
      </c>
      <c r="E27" s="23">
        <v>33</v>
      </c>
      <c r="F27" s="23">
        <v>3</v>
      </c>
      <c r="G27" s="23">
        <v>139</v>
      </c>
      <c r="H27" s="23">
        <v>1499</v>
      </c>
      <c r="I27" s="23">
        <v>9</v>
      </c>
      <c r="J27" s="46">
        <f t="shared" si="0"/>
        <v>11.971268954509178</v>
      </c>
      <c r="K27" s="47">
        <f t="shared" si="1"/>
        <v>10.882971776826526</v>
      </c>
    </row>
    <row r="28" spans="1:11" x14ac:dyDescent="0.2">
      <c r="A28" s="48" t="s">
        <v>16</v>
      </c>
      <c r="B28" s="23">
        <v>215374</v>
      </c>
      <c r="C28" s="49">
        <v>19.11</v>
      </c>
      <c r="D28" s="23">
        <v>1860</v>
      </c>
      <c r="E28" s="23">
        <v>176</v>
      </c>
      <c r="F28" s="23">
        <v>5</v>
      </c>
      <c r="G28" s="23">
        <v>128</v>
      </c>
      <c r="H28" s="23">
        <v>3029</v>
      </c>
      <c r="I28" s="23">
        <v>173</v>
      </c>
      <c r="J28" s="46">
        <f t="shared" si="0"/>
        <v>8.1718313259724944</v>
      </c>
      <c r="K28" s="47">
        <f t="shared" si="1"/>
        <v>2.3215429903330951</v>
      </c>
    </row>
    <row r="29" spans="1:11" x14ac:dyDescent="0.2">
      <c r="A29" s="48" t="s">
        <v>83</v>
      </c>
      <c r="B29" s="23">
        <v>78800</v>
      </c>
      <c r="C29" s="49">
        <v>17.09</v>
      </c>
      <c r="D29" s="23">
        <v>259</v>
      </c>
      <c r="E29" s="23">
        <v>61</v>
      </c>
      <c r="F29" s="23">
        <v>2</v>
      </c>
      <c r="G29" s="23">
        <v>172</v>
      </c>
      <c r="H29" s="23">
        <v>1839</v>
      </c>
      <c r="I29" s="23">
        <v>35</v>
      </c>
      <c r="J29" s="46">
        <f t="shared" si="0"/>
        <v>7.7411167512690353</v>
      </c>
      <c r="K29" s="47">
        <f t="shared" si="1"/>
        <v>2.5380710659898478</v>
      </c>
    </row>
    <row r="30" spans="1:11" x14ac:dyDescent="0.2">
      <c r="A30" s="48" t="s">
        <v>84</v>
      </c>
      <c r="B30" s="23">
        <v>40113</v>
      </c>
      <c r="C30" s="49">
        <v>19.66</v>
      </c>
      <c r="D30" s="23">
        <v>240</v>
      </c>
      <c r="E30" s="23">
        <v>48</v>
      </c>
      <c r="F30" s="23">
        <v>2</v>
      </c>
      <c r="G30" s="23">
        <v>125</v>
      </c>
      <c r="H30" s="23">
        <v>2682</v>
      </c>
      <c r="I30" s="23">
        <v>17</v>
      </c>
      <c r="J30" s="46">
        <f t="shared" si="0"/>
        <v>11.966195497718944</v>
      </c>
      <c r="K30" s="47">
        <f t="shared" si="1"/>
        <v>4.9859147907162269</v>
      </c>
    </row>
    <row r="31" spans="1:11" x14ac:dyDescent="0.2">
      <c r="A31" s="48" t="s">
        <v>85</v>
      </c>
      <c r="B31" s="23">
        <v>55762</v>
      </c>
      <c r="C31" s="49">
        <v>15.37</v>
      </c>
      <c r="D31" s="23">
        <v>182</v>
      </c>
      <c r="E31" s="23">
        <v>60</v>
      </c>
      <c r="F31" s="23">
        <v>4</v>
      </c>
      <c r="G31" s="23">
        <v>142</v>
      </c>
      <c r="H31" s="23">
        <v>2396</v>
      </c>
      <c r="I31" s="23">
        <v>24</v>
      </c>
      <c r="J31" s="46">
        <f t="shared" si="0"/>
        <v>10.760015781356479</v>
      </c>
      <c r="K31" s="47">
        <f t="shared" si="1"/>
        <v>7.1733438542376522</v>
      </c>
    </row>
    <row r="32" spans="1:11" x14ac:dyDescent="0.2">
      <c r="A32" s="48" t="s">
        <v>86</v>
      </c>
      <c r="B32" s="23">
        <v>153426</v>
      </c>
      <c r="C32" s="49">
        <v>16.350000000000001</v>
      </c>
      <c r="D32" s="23">
        <v>728</v>
      </c>
      <c r="E32" s="23">
        <v>113</v>
      </c>
      <c r="F32" s="23">
        <v>3</v>
      </c>
      <c r="G32" s="23">
        <v>110</v>
      </c>
      <c r="H32" s="23">
        <v>2805</v>
      </c>
      <c r="I32" s="23">
        <v>51</v>
      </c>
      <c r="J32" s="46">
        <f t="shared" si="0"/>
        <v>7.3651141266799627</v>
      </c>
      <c r="K32" s="47">
        <f t="shared" si="1"/>
        <v>1.9553400336318485</v>
      </c>
    </row>
    <row r="33" spans="1:21" x14ac:dyDescent="0.2">
      <c r="A33" s="48" t="s">
        <v>87</v>
      </c>
      <c r="B33" s="23">
        <v>445274</v>
      </c>
      <c r="C33" s="49">
        <v>12.48</v>
      </c>
      <c r="D33" s="23">
        <v>2597</v>
      </c>
      <c r="E33" s="23">
        <v>324</v>
      </c>
      <c r="F33" s="23">
        <v>21</v>
      </c>
      <c r="G33" s="23">
        <v>107</v>
      </c>
      <c r="H33" s="23">
        <v>3534</v>
      </c>
      <c r="I33" s="23">
        <v>190</v>
      </c>
      <c r="J33" s="46">
        <f t="shared" si="0"/>
        <v>7.2764185647488961</v>
      </c>
      <c r="K33" s="47">
        <f t="shared" si="1"/>
        <v>4.7161972178928027</v>
      </c>
    </row>
    <row r="34" spans="1:21" x14ac:dyDescent="0.2">
      <c r="A34" s="48" t="s">
        <v>88</v>
      </c>
      <c r="B34" s="23">
        <v>105096</v>
      </c>
      <c r="C34" s="49">
        <v>24.65</v>
      </c>
      <c r="D34" s="23">
        <v>391</v>
      </c>
      <c r="E34" s="23">
        <v>79</v>
      </c>
      <c r="F34" s="23">
        <v>2</v>
      </c>
      <c r="G34" s="23">
        <v>56</v>
      </c>
      <c r="H34" s="23">
        <v>1796</v>
      </c>
      <c r="I34" s="23">
        <v>43</v>
      </c>
      <c r="J34" s="46">
        <f t="shared" si="0"/>
        <v>7.5169368957905149</v>
      </c>
      <c r="K34" s="47">
        <f t="shared" si="1"/>
        <v>1.9030219989343076</v>
      </c>
    </row>
    <row r="35" spans="1:21" x14ac:dyDescent="0.2">
      <c r="A35" s="48" t="s">
        <v>89</v>
      </c>
      <c r="B35" s="23">
        <v>225511</v>
      </c>
      <c r="C35" s="49">
        <v>22.71</v>
      </c>
      <c r="D35" s="23">
        <v>1014</v>
      </c>
      <c r="E35" s="23">
        <v>170</v>
      </c>
      <c r="F35" s="23">
        <v>9</v>
      </c>
      <c r="G35" s="23">
        <v>60</v>
      </c>
      <c r="H35" s="23">
        <v>2839</v>
      </c>
      <c r="I35" s="23">
        <v>84</v>
      </c>
      <c r="J35" s="46">
        <f t="shared" si="0"/>
        <v>7.5384349322206008</v>
      </c>
      <c r="K35" s="47">
        <f t="shared" si="1"/>
        <v>3.9909361405873769</v>
      </c>
    </row>
    <row r="36" spans="1:21" x14ac:dyDescent="0.2">
      <c r="A36" s="48" t="s">
        <v>90</v>
      </c>
      <c r="B36" s="23">
        <v>43937</v>
      </c>
      <c r="C36" s="49">
        <v>19.739999999999998</v>
      </c>
      <c r="D36" s="23">
        <v>308</v>
      </c>
      <c r="E36" s="23">
        <v>51</v>
      </c>
      <c r="F36" s="23">
        <v>1</v>
      </c>
      <c r="G36" s="23">
        <v>92</v>
      </c>
      <c r="H36" s="23">
        <v>1404</v>
      </c>
      <c r="I36" s="23">
        <v>43</v>
      </c>
      <c r="J36" s="46">
        <f t="shared" si="0"/>
        <v>11.607528961922753</v>
      </c>
      <c r="K36" s="47">
        <f t="shared" si="1"/>
        <v>2.2759860709652457</v>
      </c>
      <c r="P36" s="18"/>
    </row>
    <row r="37" spans="1:21" x14ac:dyDescent="0.2">
      <c r="A37" s="48" t="s">
        <v>91</v>
      </c>
      <c r="B37" s="23">
        <v>343123</v>
      </c>
      <c r="C37" s="49">
        <v>15.84</v>
      </c>
      <c r="D37" s="23">
        <v>1542</v>
      </c>
      <c r="E37" s="23">
        <v>243</v>
      </c>
      <c r="F37" s="23">
        <v>6</v>
      </c>
      <c r="G37" s="23">
        <v>63</v>
      </c>
      <c r="H37" s="23">
        <v>4423</v>
      </c>
      <c r="I37" s="23">
        <v>211</v>
      </c>
      <c r="J37" s="46">
        <f t="shared" si="0"/>
        <v>7.0820084925813775</v>
      </c>
      <c r="K37" s="47">
        <f t="shared" si="1"/>
        <v>1.7486440722423153</v>
      </c>
      <c r="P37" s="18"/>
    </row>
    <row r="38" spans="1:21" x14ac:dyDescent="0.2">
      <c r="A38" s="48" t="s">
        <v>92</v>
      </c>
      <c r="B38" s="23">
        <v>797491</v>
      </c>
      <c r="C38" s="49">
        <v>23.5</v>
      </c>
      <c r="D38" s="23">
        <v>1689</v>
      </c>
      <c r="E38" s="23">
        <v>690</v>
      </c>
      <c r="F38" s="23">
        <v>11</v>
      </c>
      <c r="G38" s="23">
        <v>72</v>
      </c>
      <c r="H38" s="23">
        <v>3070</v>
      </c>
      <c r="I38" s="23">
        <v>127</v>
      </c>
      <c r="J38" s="46">
        <f t="shared" si="0"/>
        <v>8.6521352592066858</v>
      </c>
      <c r="K38" s="47">
        <f t="shared" si="1"/>
        <v>1.3793259108880225</v>
      </c>
      <c r="P38" s="18"/>
    </row>
    <row r="39" spans="1:21" x14ac:dyDescent="0.2">
      <c r="A39" s="48" t="s">
        <v>93</v>
      </c>
      <c r="B39" s="23">
        <v>46770</v>
      </c>
      <c r="C39" s="49">
        <v>19.25</v>
      </c>
      <c r="D39" s="23">
        <v>206</v>
      </c>
      <c r="E39" s="23">
        <v>30</v>
      </c>
      <c r="F39" s="23">
        <v>1</v>
      </c>
      <c r="G39" s="23">
        <v>69</v>
      </c>
      <c r="H39" s="23">
        <v>3718</v>
      </c>
      <c r="I39" s="23">
        <v>21</v>
      </c>
      <c r="J39" s="46">
        <f t="shared" si="0"/>
        <v>6.414368184733803</v>
      </c>
      <c r="K39" s="47">
        <f t="shared" si="1"/>
        <v>2.1381227282446011</v>
      </c>
      <c r="P39" s="18"/>
    </row>
    <row r="40" spans="1:21" x14ac:dyDescent="0.2">
      <c r="A40" s="48" t="s">
        <v>94</v>
      </c>
      <c r="B40" s="23">
        <v>37880</v>
      </c>
      <c r="C40" s="49">
        <v>20.47</v>
      </c>
      <c r="D40" s="23">
        <v>199</v>
      </c>
      <c r="E40" s="23">
        <v>36</v>
      </c>
      <c r="F40" s="23">
        <v>3</v>
      </c>
      <c r="G40" s="23">
        <v>68</v>
      </c>
      <c r="H40" s="23">
        <v>2600</v>
      </c>
      <c r="I40" s="23">
        <v>25</v>
      </c>
      <c r="J40" s="46">
        <f t="shared" si="0"/>
        <v>9.5036958817317849</v>
      </c>
      <c r="K40" s="47">
        <f t="shared" si="1"/>
        <v>7.9197465681098214</v>
      </c>
      <c r="P40" s="18"/>
    </row>
    <row r="41" spans="1:21" x14ac:dyDescent="0.2">
      <c r="A41" s="48" t="s">
        <v>95</v>
      </c>
      <c r="B41" s="23">
        <v>6335</v>
      </c>
      <c r="C41" s="49">
        <v>13.1</v>
      </c>
      <c r="D41" s="23">
        <v>57</v>
      </c>
      <c r="E41" s="23">
        <v>6</v>
      </c>
      <c r="F41" s="23">
        <v>1</v>
      </c>
      <c r="G41" s="23">
        <v>78</v>
      </c>
      <c r="H41" s="23">
        <v>1607</v>
      </c>
      <c r="I41" s="23">
        <v>10</v>
      </c>
      <c r="J41" s="46">
        <f t="shared" si="0"/>
        <v>9.4711917916337818</v>
      </c>
      <c r="K41" s="47">
        <f t="shared" si="1"/>
        <v>15.785319652722967</v>
      </c>
      <c r="P41" s="18"/>
    </row>
    <row r="42" spans="1:21" ht="16" thickBot="1" x14ac:dyDescent="0.25">
      <c r="A42" s="50" t="s">
        <v>96</v>
      </c>
      <c r="B42" s="51">
        <v>52851</v>
      </c>
      <c r="C42" s="52">
        <v>16.579999999999998</v>
      </c>
      <c r="D42" s="51">
        <v>282</v>
      </c>
      <c r="E42" s="51">
        <v>43</v>
      </c>
      <c r="F42" s="51">
        <v>2</v>
      </c>
      <c r="G42" s="51">
        <v>72</v>
      </c>
      <c r="H42" s="51">
        <v>3307</v>
      </c>
      <c r="I42" s="51">
        <v>28</v>
      </c>
      <c r="J42" s="46">
        <f t="shared" si="0"/>
        <v>8.1360806796465539</v>
      </c>
      <c r="K42" s="47">
        <f t="shared" si="1"/>
        <v>3.7842235719286297</v>
      </c>
      <c r="P42" s="18"/>
    </row>
    <row r="43" spans="1:21" x14ac:dyDescent="0.2">
      <c r="P43" s="18"/>
    </row>
    <row r="44" spans="1:21" x14ac:dyDescent="0.2">
      <c r="P44" s="18"/>
    </row>
    <row r="45" spans="1:21" x14ac:dyDescent="0.2">
      <c r="P45" s="18"/>
    </row>
    <row r="47" spans="1:21" ht="30" customHeight="1" x14ac:dyDescent="0.2">
      <c r="A47" s="133" t="s">
        <v>28</v>
      </c>
      <c r="B47" s="133"/>
      <c r="C47" s="133"/>
      <c r="D47" s="133"/>
      <c r="E47" s="133"/>
      <c r="F47" s="133"/>
      <c r="G47" s="133"/>
      <c r="H47" s="133"/>
      <c r="I47" s="133"/>
      <c r="J47" s="133"/>
      <c r="K47" s="133"/>
      <c r="L47" s="133"/>
      <c r="M47" s="133"/>
      <c r="N47" s="133"/>
      <c r="O47" s="133"/>
      <c r="P47" s="133"/>
      <c r="Q47" s="133"/>
      <c r="R47" s="133"/>
      <c r="S47" s="133"/>
      <c r="T47" s="133"/>
      <c r="U47" s="133"/>
    </row>
    <row r="48" spans="1:21" ht="16" thickBot="1" x14ac:dyDescent="0.25"/>
    <row r="49" spans="1:21" ht="16" thickBot="1" x14ac:dyDescent="0.25">
      <c r="A49" s="97" t="s">
        <v>14</v>
      </c>
      <c r="B49" s="99" t="s">
        <v>97</v>
      </c>
      <c r="C49" s="37" t="s">
        <v>14</v>
      </c>
      <c r="D49" s="39" t="s">
        <v>29</v>
      </c>
      <c r="E49" s="40" t="s">
        <v>30</v>
      </c>
      <c r="F49" s="40" t="s">
        <v>31</v>
      </c>
      <c r="G49" s="40" t="s">
        <v>32</v>
      </c>
      <c r="H49" s="40" t="s">
        <v>48</v>
      </c>
      <c r="I49" s="40" t="s">
        <v>49</v>
      </c>
      <c r="J49" s="40" t="s">
        <v>50</v>
      </c>
      <c r="K49" s="40" t="s">
        <v>51</v>
      </c>
      <c r="L49" s="40" t="s">
        <v>33</v>
      </c>
      <c r="M49" s="40" t="s">
        <v>34</v>
      </c>
      <c r="N49" s="40" t="s">
        <v>35</v>
      </c>
      <c r="O49" s="40" t="s">
        <v>36</v>
      </c>
      <c r="P49" s="40" t="s">
        <v>52</v>
      </c>
      <c r="Q49" s="40" t="s">
        <v>53</v>
      </c>
      <c r="R49" s="40" t="s">
        <v>54</v>
      </c>
      <c r="S49" s="41" t="s">
        <v>55</v>
      </c>
      <c r="T49" s="37" t="s">
        <v>37</v>
      </c>
      <c r="U49" s="38" t="s">
        <v>38</v>
      </c>
    </row>
    <row r="50" spans="1:21" x14ac:dyDescent="0.2">
      <c r="A50" s="98" t="s">
        <v>61</v>
      </c>
      <c r="B50" s="100">
        <f>RANK(U50,$U$50:$U$88,0)</f>
        <v>33</v>
      </c>
      <c r="C50" s="101" t="s">
        <v>61</v>
      </c>
      <c r="D50" s="53">
        <f t="shared" ref="D50:D88" si="2">IF(AND(B4&gt;=0,B4&lt;=30000),1,IF(AND(B4&gt;30000,B4&lt;=60000),2,IF(AND(B4&gt;60000,B4&lt;=120000),3,IF(AND(B4&gt;120000,B4&lt;=200000),4,5))))</f>
        <v>4</v>
      </c>
      <c r="E50" s="53">
        <f t="shared" ref="E50:E88" si="3">IF(AND(C4&gt;=0,C4&lt;=5),5,IF(AND(C4&gt;5,C4&lt;=10),4,IF(AND(C4&gt;10,C4&lt;=15),3,IF(AND(C4&gt;15,C4&lt;=20),2,1))))</f>
        <v>1</v>
      </c>
      <c r="F50" s="46">
        <f t="shared" ref="F50:F88" si="4">IF(AND(D4&gt;=0,D4&lt;=50),1,IF(AND(D4&gt;50,D4&lt;=100),2,IF(AND(D4&gt;100,D4&lt;=150),3,IF(AND(D4&gt;150,D4&lt;=200),4,5))))</f>
        <v>5</v>
      </c>
      <c r="G50" s="46">
        <f t="shared" ref="G50:G88" si="5">IF(AND(J4&gt;=0,J4&lt;=2.5),1,IF(AND(J4&gt;2.5,J4&lt;=5),2,IF(AND(J4&gt;5,J4&lt;=7.5),3,IF(AND(J4&gt;7.5,J4&lt;=10),4,5))))</f>
        <v>4</v>
      </c>
      <c r="H50" s="46">
        <f t="shared" ref="H50:H88" si="6">IF(AND(K4&gt;=0,K4&lt;=2.5),1,IF(AND(K4&gt;2.5,K4&lt;=5),2,IF(AND(K4&gt;5,K4&lt;=7.5),3,IF(AND(K4&gt;7.5,K4&lt;=10),4,5))))</f>
        <v>4</v>
      </c>
      <c r="I50" s="46">
        <f t="shared" ref="I50:I88" si="7">IF(AND(G4&gt;=0,G4&lt;=40),5,IF(AND(G4&gt;40,G4&lt;=80),4,IF(AND(G4&gt;80,G4&lt;=100),3,IF(AND(G4&gt;100,G4&lt;=120),2,1))))</f>
        <v>1</v>
      </c>
      <c r="J50" s="46">
        <f t="shared" ref="J50:J88" si="8">IF(AND(H4&gt;=0,H4&lt;=1200),5,IF(AND(H4&gt;1200,H4&lt;=1500),4,IF(AND(H4&gt;1500,H4&lt;=1800),3,IF(AND(H4&gt;1800,H4&lt;=2100),2,1))))</f>
        <v>2</v>
      </c>
      <c r="K50" s="46">
        <f t="shared" ref="K50:K88" si="9">IF(AND(I4&gt;=0,I4&lt;=5),1,IF(AND(I4&gt;5,I4&lt;=10),2,IF(AND(I4&gt;10,I4&lt;=20),3,IF(AND(I4&gt;20,I4&lt;=40),4,5))))</f>
        <v>5</v>
      </c>
      <c r="L50" s="46">
        <f>IF(Accueil!$L$13="De nombreux habitants",D50*5,IF(Accueil!$L$16="De nombreux habitants",D50*4,IF(Accueil!$L$19="De nombreux habitants",D50*3,IF(Accueil!$L$22="De nombreux habitants",D50*2,D50))))</f>
        <v>4</v>
      </c>
      <c r="M50" s="46">
        <f>IF(Accueil!$L$13="Peu de chômage",E50*5,IF(Accueil!$L$16="Peu de chômage",E50*4,IF(Accueil!$L$19="Peu de chômage",E50*3,IF(Accueil!$L$22="Peu de chômage",E50*2,E50))))</f>
        <v>5</v>
      </c>
      <c r="N50" s="46">
        <f>IF(Accueil!$L$13="De nombreux restaurants",F50*5,IF(Accueil!$L$16="De nombreux restaurants",F50*4,IF(Accueil!$L$19="De nombreux restaurants",F50*3,IF(Accueil!$L$22="De nombreux restaurants",F50*2,F50))))</f>
        <v>5</v>
      </c>
      <c r="O50" s="46">
        <f>IF(Accueil!$L$13="Plusieurs écoles",G50*5,IF(Accueil!$L$16="Plusieurs écoles",G50*4,IF(Accueil!$L$19="Plusieurs écoles",G50*3,IF(Accueil!$L$22="Plusieurs écoles",G50*2,G50))))</f>
        <v>16</v>
      </c>
      <c r="P50" s="46">
        <f>IF(Accueil!$L$13="De nombreux hôpitaux",H50*5,IF(Accueil!$L$16="De nombreux hôpitaux",H50*4,IF(Accueil!$L$19="De nombreux hôpitaux",H50*3,IF(Accueil!$L$22="De nombreux hôpitaux",H50*2,H50))))</f>
        <v>4</v>
      </c>
      <c r="Q50" s="46">
        <f>IF(Accueil!$L$13="Peu de pluit",I50*5,IF(Accueil!$L$16="Peu de pluit",I50*4,IF(Accueil!$L$19="Peu de pluit",I50*3,IF(Accueil!$L$22="Peu de pluit",I50*2,I50))))</f>
        <v>2</v>
      </c>
      <c r="R50" s="46">
        <f>IF(Accueil!$L$13="Un prix au m² faible",J50*5,IF(Accueil!$L$16="Un prix au m² faible",J50*4,IF(Accueil!$L$19="Un prix au m² faible",J50*3,IF(Accueil!$L$22="Un prix au m² faible",J50*2,J50))))</f>
        <v>2</v>
      </c>
      <c r="S50" s="54">
        <f>IF(Accueil!$L$13="De nombreux hôtels",K50*5,IF(Accueil!$L$16="De nombreux hôtels",K50*4,IF(Accueil!$L$19="De nombreux hôtels",K50*3,IF(Accueil!$L$22="De nombreux hôtels",K50*2,K50))))</f>
        <v>5</v>
      </c>
      <c r="T50" s="58">
        <f t="shared" ref="T50:T88" si="10">SUM(D50:K50)</f>
        <v>26</v>
      </c>
      <c r="U50" s="59">
        <f t="shared" ref="U50:U88" si="11">SUM(L50:S50)</f>
        <v>43</v>
      </c>
    </row>
    <row r="51" spans="1:21" x14ac:dyDescent="0.2">
      <c r="A51" s="98" t="s">
        <v>62</v>
      </c>
      <c r="B51" s="100">
        <f t="shared" ref="B51:B88" si="12">RANK(U51,$U$50:$U$88,0)</f>
        <v>16</v>
      </c>
      <c r="C51" s="102" t="s">
        <v>62</v>
      </c>
      <c r="D51" s="53">
        <f t="shared" si="2"/>
        <v>3</v>
      </c>
      <c r="E51" s="53">
        <f t="shared" si="3"/>
        <v>2</v>
      </c>
      <c r="F51" s="46">
        <f t="shared" si="4"/>
        <v>4</v>
      </c>
      <c r="G51" s="46">
        <f t="shared" si="5"/>
        <v>5</v>
      </c>
      <c r="H51" s="46">
        <f t="shared" si="6"/>
        <v>2</v>
      </c>
      <c r="I51" s="46">
        <f t="shared" si="7"/>
        <v>1</v>
      </c>
      <c r="J51" s="46">
        <f t="shared" si="8"/>
        <v>3</v>
      </c>
      <c r="K51" s="46">
        <f t="shared" si="9"/>
        <v>3</v>
      </c>
      <c r="L51" s="46">
        <f>IF(Accueil!$L$13="De nombreux habitants",D51*5,IF(Accueil!$L$16="De nombreux habitants",D51*4,IF(Accueil!$L$19="De nombreux habitants",D51*3,IF(Accueil!$L$22="De nombreux habitants",D51*2,D51))))</f>
        <v>3</v>
      </c>
      <c r="M51" s="46">
        <f>IF(Accueil!$L$13="Peu de chômage",E51*5,IF(Accueil!$L$16="Peu de chômage",E51*4,IF(Accueil!$L$19="Peu de chômage",E51*3,IF(Accueil!$L$22="Peu de chômage",E51*2,E51))))</f>
        <v>10</v>
      </c>
      <c r="N51" s="46">
        <f>IF(Accueil!$L$13="De nombreux restaurants",F51*5,IF(Accueil!$L$16="De nombreux restaurants",F51*4,IF(Accueil!$L$19="De nombreux restaurants",F51*3,IF(Accueil!$L$22="De nombreux restaurants",F51*2,F51))))</f>
        <v>4</v>
      </c>
      <c r="O51" s="46">
        <f>IF(Accueil!$L$13="Plusieurs écoles",G51*5,IF(Accueil!$L$16="Plusieurs écoles",G51*4,IF(Accueil!$L$19="Plusieurs écoles",G51*3,IF(Accueil!$L$22="Plusieurs écoles",G51*2,G51))))</f>
        <v>20</v>
      </c>
      <c r="P51" s="46">
        <f>IF(Accueil!$L$13="De nombreux hôpitaux",H51*5,IF(Accueil!$L$16="De nombreux hôpitaux",H51*4,IF(Accueil!$L$19="De nombreux hôpitaux",H51*3,IF(Accueil!$L$22="De nombreux hôpitaux",H51*2,H51))))</f>
        <v>2</v>
      </c>
      <c r="Q51" s="46">
        <f>IF(Accueil!$L$13="Peu de pluit",I51*5,IF(Accueil!$L$16="Peu de pluit",I51*4,IF(Accueil!$L$19="Peu de pluit",I51*3,IF(Accueil!$L$22="Peu de pluit",I51*2,I51))))</f>
        <v>2</v>
      </c>
      <c r="R51" s="46">
        <f>IF(Accueil!$L$13="Un prix au m² faible",J51*5,IF(Accueil!$L$16="Un prix au m² faible",J51*4,IF(Accueil!$L$19="Un prix au m² faible",J51*3,IF(Accueil!$L$22="Un prix au m² faible",J51*2,J51))))</f>
        <v>3</v>
      </c>
      <c r="S51" s="54">
        <f>IF(Accueil!$L$13="De nombreux hôtels",K51*5,IF(Accueil!$L$16="De nombreux hôtels",K51*4,IF(Accueil!$L$19="De nombreux hôtels",K51*3,IF(Accueil!$L$22="De nombreux hôtels",K51*2,K51))))</f>
        <v>3</v>
      </c>
      <c r="T51" s="60">
        <f t="shared" si="10"/>
        <v>23</v>
      </c>
      <c r="U51" s="61">
        <f t="shared" si="11"/>
        <v>47</v>
      </c>
    </row>
    <row r="52" spans="1:21" x14ac:dyDescent="0.2">
      <c r="A52" s="98" t="s">
        <v>63</v>
      </c>
      <c r="B52" s="100">
        <f t="shared" si="12"/>
        <v>39</v>
      </c>
      <c r="C52" s="102" t="s">
        <v>63</v>
      </c>
      <c r="D52" s="53">
        <f t="shared" si="2"/>
        <v>3</v>
      </c>
      <c r="E52" s="53">
        <f t="shared" si="3"/>
        <v>1</v>
      </c>
      <c r="F52" s="46">
        <f t="shared" si="4"/>
        <v>3</v>
      </c>
      <c r="G52" s="46">
        <f t="shared" si="5"/>
        <v>4</v>
      </c>
      <c r="H52" s="46">
        <f t="shared" si="6"/>
        <v>1</v>
      </c>
      <c r="I52" s="46">
        <f t="shared" si="7"/>
        <v>1</v>
      </c>
      <c r="J52" s="46">
        <f t="shared" si="8"/>
        <v>4</v>
      </c>
      <c r="K52" s="46">
        <f t="shared" si="9"/>
        <v>4</v>
      </c>
      <c r="L52" s="46">
        <f>IF(Accueil!$L$13="De nombreux habitants",D52*5,IF(Accueil!$L$16="De nombreux habitants",D52*4,IF(Accueil!$L$19="De nombreux habitants",D52*3,IF(Accueil!$L$22="De nombreux habitants",D52*2,D52))))</f>
        <v>3</v>
      </c>
      <c r="M52" s="46">
        <f>IF(Accueil!$L$13="Peu de chômage",E52*5,IF(Accueil!$L$16="Peu de chômage",E52*4,IF(Accueil!$L$19="Peu de chômage",E52*3,IF(Accueil!$L$22="Peu de chômage",E52*2,E52))))</f>
        <v>5</v>
      </c>
      <c r="N52" s="46">
        <f>IF(Accueil!$L$13="De nombreux restaurants",F52*5,IF(Accueil!$L$16="De nombreux restaurants",F52*4,IF(Accueil!$L$19="De nombreux restaurants",F52*3,IF(Accueil!$L$22="De nombreux restaurants",F52*2,F52))))</f>
        <v>3</v>
      </c>
      <c r="O52" s="46">
        <f>IF(Accueil!$L$13="Plusieurs écoles",G52*5,IF(Accueil!$L$16="Plusieurs écoles",G52*4,IF(Accueil!$L$19="Plusieurs écoles",G52*3,IF(Accueil!$L$22="Plusieurs écoles",G52*2,G52))))</f>
        <v>16</v>
      </c>
      <c r="P52" s="46">
        <f>IF(Accueil!$L$13="De nombreux hôpitaux",H52*5,IF(Accueil!$L$16="De nombreux hôpitaux",H52*4,IF(Accueil!$L$19="De nombreux hôpitaux",H52*3,IF(Accueil!$L$22="De nombreux hôpitaux",H52*2,H52))))</f>
        <v>1</v>
      </c>
      <c r="Q52" s="46">
        <f>IF(Accueil!$L$13="Peu de pluit",I52*5,IF(Accueil!$L$16="Peu de pluit",I52*4,IF(Accueil!$L$19="Peu de pluit",I52*3,IF(Accueil!$L$22="Peu de pluit",I52*2,I52))))</f>
        <v>2</v>
      </c>
      <c r="R52" s="46">
        <f>IF(Accueil!$L$13="Un prix au m² faible",J52*5,IF(Accueil!$L$16="Un prix au m² faible",J52*4,IF(Accueil!$L$19="Un prix au m² faible",J52*3,IF(Accueil!$L$22="Un prix au m² faible",J52*2,J52))))</f>
        <v>4</v>
      </c>
      <c r="S52" s="54">
        <f>IF(Accueil!$L$13="De nombreux hôtels",K52*5,IF(Accueil!$L$16="De nombreux hôtels",K52*4,IF(Accueil!$L$19="De nombreux hôtels",K52*3,IF(Accueil!$L$22="De nombreux hôtels",K52*2,K52))))</f>
        <v>4</v>
      </c>
      <c r="T52" s="60">
        <f t="shared" si="10"/>
        <v>21</v>
      </c>
      <c r="U52" s="61">
        <f t="shared" si="11"/>
        <v>38</v>
      </c>
    </row>
    <row r="53" spans="1:21" x14ac:dyDescent="0.2">
      <c r="A53" s="98" t="s">
        <v>64</v>
      </c>
      <c r="B53" s="100">
        <f t="shared" si="12"/>
        <v>21</v>
      </c>
      <c r="C53" s="102" t="s">
        <v>64</v>
      </c>
      <c r="D53" s="53">
        <f t="shared" si="2"/>
        <v>1</v>
      </c>
      <c r="E53" s="53">
        <f t="shared" si="3"/>
        <v>2</v>
      </c>
      <c r="F53" s="46">
        <f t="shared" si="4"/>
        <v>3</v>
      </c>
      <c r="G53" s="46">
        <f t="shared" si="5"/>
        <v>5</v>
      </c>
      <c r="H53" s="46">
        <f t="shared" si="6"/>
        <v>2</v>
      </c>
      <c r="I53" s="46">
        <f t="shared" si="7"/>
        <v>1</v>
      </c>
      <c r="J53" s="46">
        <f t="shared" si="8"/>
        <v>4</v>
      </c>
      <c r="K53" s="46">
        <f t="shared" si="9"/>
        <v>4</v>
      </c>
      <c r="L53" s="46">
        <f>IF(Accueil!$L$13="De nombreux habitants",D53*5,IF(Accueil!$L$16="De nombreux habitants",D53*4,IF(Accueil!$L$19="De nombreux habitants",D53*3,IF(Accueil!$L$22="De nombreux habitants",D53*2,D53))))</f>
        <v>1</v>
      </c>
      <c r="M53" s="46">
        <f>IF(Accueil!$L$13="Peu de chômage",E53*5,IF(Accueil!$L$16="Peu de chômage",E53*4,IF(Accueil!$L$19="Peu de chômage",E53*3,IF(Accueil!$L$22="Peu de chômage",E53*2,E53))))</f>
        <v>10</v>
      </c>
      <c r="N53" s="46">
        <f>IF(Accueil!$L$13="De nombreux restaurants",F53*5,IF(Accueil!$L$16="De nombreux restaurants",F53*4,IF(Accueil!$L$19="De nombreux restaurants",F53*3,IF(Accueil!$L$22="De nombreux restaurants",F53*2,F53))))</f>
        <v>3</v>
      </c>
      <c r="O53" s="46">
        <f>IF(Accueil!$L$13="Plusieurs écoles",G53*5,IF(Accueil!$L$16="Plusieurs écoles",G53*4,IF(Accueil!$L$19="Plusieurs écoles",G53*3,IF(Accueil!$L$22="Plusieurs écoles",G53*2,G53))))</f>
        <v>20</v>
      </c>
      <c r="P53" s="46">
        <f>IF(Accueil!$L$13="De nombreux hôpitaux",H53*5,IF(Accueil!$L$16="De nombreux hôpitaux",H53*4,IF(Accueil!$L$19="De nombreux hôpitaux",H53*3,IF(Accueil!$L$22="De nombreux hôpitaux",H53*2,H53))))</f>
        <v>2</v>
      </c>
      <c r="Q53" s="46">
        <f>IF(Accueil!$L$13="Peu de pluit",I53*5,IF(Accueil!$L$16="Peu de pluit",I53*4,IF(Accueil!$L$19="Peu de pluit",I53*3,IF(Accueil!$L$22="Peu de pluit",I53*2,I53))))</f>
        <v>2</v>
      </c>
      <c r="R53" s="46">
        <f>IF(Accueil!$L$13="Un prix au m² faible",J53*5,IF(Accueil!$L$16="Un prix au m² faible",J53*4,IF(Accueil!$L$19="Un prix au m² faible",J53*3,IF(Accueil!$L$22="Un prix au m² faible",J53*2,J53))))</f>
        <v>4</v>
      </c>
      <c r="S53" s="54">
        <f>IF(Accueil!$L$13="De nombreux hôtels",K53*5,IF(Accueil!$L$16="De nombreux hôtels",K53*4,IF(Accueil!$L$19="De nombreux hôtels",K53*3,IF(Accueil!$L$22="De nombreux hôtels",K53*2,K53))))</f>
        <v>4</v>
      </c>
      <c r="T53" s="60">
        <f t="shared" si="10"/>
        <v>22</v>
      </c>
      <c r="U53" s="61">
        <f t="shared" si="11"/>
        <v>46</v>
      </c>
    </row>
    <row r="54" spans="1:21" x14ac:dyDescent="0.2">
      <c r="A54" s="98" t="s">
        <v>65</v>
      </c>
      <c r="B54" s="100">
        <f t="shared" si="12"/>
        <v>38</v>
      </c>
      <c r="C54" s="102" t="s">
        <v>65</v>
      </c>
      <c r="D54" s="53">
        <f t="shared" si="2"/>
        <v>4</v>
      </c>
      <c r="E54" s="53">
        <f t="shared" si="3"/>
        <v>1</v>
      </c>
      <c r="F54" s="46">
        <f t="shared" si="4"/>
        <v>5</v>
      </c>
      <c r="G54" s="46">
        <f t="shared" si="5"/>
        <v>4</v>
      </c>
      <c r="H54" s="46">
        <f t="shared" si="6"/>
        <v>2</v>
      </c>
      <c r="I54" s="46">
        <f t="shared" si="7"/>
        <v>1</v>
      </c>
      <c r="J54" s="46">
        <f t="shared" si="8"/>
        <v>3</v>
      </c>
      <c r="K54" s="46">
        <f t="shared" si="9"/>
        <v>4</v>
      </c>
      <c r="L54" s="46">
        <f>IF(Accueil!$L$13="De nombreux habitants",D54*5,IF(Accueil!$L$16="De nombreux habitants",D54*4,IF(Accueil!$L$19="De nombreux habitants",D54*3,IF(Accueil!$L$22="De nombreux habitants",D54*2,D54))))</f>
        <v>4</v>
      </c>
      <c r="M54" s="46">
        <f>IF(Accueil!$L$13="Peu de chômage",E54*5,IF(Accueil!$L$16="Peu de chômage",E54*4,IF(Accueil!$L$19="Peu de chômage",E54*3,IF(Accueil!$L$22="Peu de chômage",E54*2,E54))))</f>
        <v>5</v>
      </c>
      <c r="N54" s="46">
        <f>IF(Accueil!$L$13="De nombreux restaurants",F54*5,IF(Accueil!$L$16="De nombreux restaurants",F54*4,IF(Accueil!$L$19="De nombreux restaurants",F54*3,IF(Accueil!$L$22="De nombreux restaurants",F54*2,F54))))</f>
        <v>5</v>
      </c>
      <c r="O54" s="46">
        <f>IF(Accueil!$L$13="Plusieurs écoles",G54*5,IF(Accueil!$L$16="Plusieurs écoles",G54*4,IF(Accueil!$L$19="Plusieurs écoles",G54*3,IF(Accueil!$L$22="Plusieurs écoles",G54*2,G54))))</f>
        <v>16</v>
      </c>
      <c r="P54" s="46">
        <f>IF(Accueil!$L$13="De nombreux hôpitaux",H54*5,IF(Accueil!$L$16="De nombreux hôpitaux",H54*4,IF(Accueil!$L$19="De nombreux hôpitaux",H54*3,IF(Accueil!$L$22="De nombreux hôpitaux",H54*2,H54))))</f>
        <v>2</v>
      </c>
      <c r="Q54" s="46">
        <f>IF(Accueil!$L$13="Peu de pluit",I54*5,IF(Accueil!$L$16="Peu de pluit",I54*4,IF(Accueil!$L$19="Peu de pluit",I54*3,IF(Accueil!$L$22="Peu de pluit",I54*2,I54))))</f>
        <v>2</v>
      </c>
      <c r="R54" s="46">
        <f>IF(Accueil!$L$13="Un prix au m² faible",J54*5,IF(Accueil!$L$16="Un prix au m² faible",J54*4,IF(Accueil!$L$19="Un prix au m² faible",J54*3,IF(Accueil!$L$22="Un prix au m² faible",J54*2,J54))))</f>
        <v>3</v>
      </c>
      <c r="S54" s="54">
        <f>IF(Accueil!$L$13="De nombreux hôtels",K54*5,IF(Accueil!$L$16="De nombreux hôtels",K54*4,IF(Accueil!$L$19="De nombreux hôtels",K54*3,IF(Accueil!$L$22="De nombreux hôtels",K54*2,K54))))</f>
        <v>4</v>
      </c>
      <c r="T54" s="60">
        <f t="shared" si="10"/>
        <v>24</v>
      </c>
      <c r="U54" s="61">
        <f t="shared" si="11"/>
        <v>41</v>
      </c>
    </row>
    <row r="55" spans="1:21" x14ac:dyDescent="0.2">
      <c r="A55" s="98" t="s">
        <v>66</v>
      </c>
      <c r="B55" s="100">
        <f t="shared" si="12"/>
        <v>21</v>
      </c>
      <c r="C55" s="102" t="s">
        <v>66</v>
      </c>
      <c r="D55" s="53">
        <f t="shared" si="2"/>
        <v>3</v>
      </c>
      <c r="E55" s="53">
        <f t="shared" si="3"/>
        <v>2</v>
      </c>
      <c r="F55" s="46">
        <f t="shared" si="4"/>
        <v>5</v>
      </c>
      <c r="G55" s="46">
        <f t="shared" si="5"/>
        <v>4</v>
      </c>
      <c r="H55" s="46">
        <f t="shared" si="6"/>
        <v>3</v>
      </c>
      <c r="I55" s="46">
        <f t="shared" si="7"/>
        <v>1</v>
      </c>
      <c r="J55" s="46">
        <f t="shared" si="8"/>
        <v>2</v>
      </c>
      <c r="K55" s="46">
        <f t="shared" si="9"/>
        <v>5</v>
      </c>
      <c r="L55" s="46">
        <f>IF(Accueil!$L$13="De nombreux habitants",D55*5,IF(Accueil!$L$16="De nombreux habitants",D55*4,IF(Accueil!$L$19="De nombreux habitants",D55*3,IF(Accueil!$L$22="De nombreux habitants",D55*2,D55))))</f>
        <v>3</v>
      </c>
      <c r="M55" s="46">
        <f>IF(Accueil!$L$13="Peu de chômage",E55*5,IF(Accueil!$L$16="Peu de chômage",E55*4,IF(Accueil!$L$19="Peu de chômage",E55*3,IF(Accueil!$L$22="Peu de chômage",E55*2,E55))))</f>
        <v>10</v>
      </c>
      <c r="N55" s="46">
        <f>IF(Accueil!$L$13="De nombreux restaurants",F55*5,IF(Accueil!$L$16="De nombreux restaurants",F55*4,IF(Accueil!$L$19="De nombreux restaurants",F55*3,IF(Accueil!$L$22="De nombreux restaurants",F55*2,F55))))</f>
        <v>5</v>
      </c>
      <c r="O55" s="46">
        <f>IF(Accueil!$L$13="Plusieurs écoles",G55*5,IF(Accueil!$L$16="Plusieurs écoles",G55*4,IF(Accueil!$L$19="Plusieurs écoles",G55*3,IF(Accueil!$L$22="Plusieurs écoles",G55*2,G55))))</f>
        <v>16</v>
      </c>
      <c r="P55" s="46">
        <f>IF(Accueil!$L$13="De nombreux hôpitaux",H55*5,IF(Accueil!$L$16="De nombreux hôpitaux",H55*4,IF(Accueil!$L$19="De nombreux hôpitaux",H55*3,IF(Accueil!$L$22="De nombreux hôpitaux",H55*2,H55))))</f>
        <v>3</v>
      </c>
      <c r="Q55" s="46">
        <f>IF(Accueil!$L$13="Peu de pluit",I55*5,IF(Accueil!$L$16="Peu de pluit",I55*4,IF(Accueil!$L$19="Peu de pluit",I55*3,IF(Accueil!$L$22="Peu de pluit",I55*2,I55))))</f>
        <v>2</v>
      </c>
      <c r="R55" s="46">
        <f>IF(Accueil!$L$13="Un prix au m² faible",J55*5,IF(Accueil!$L$16="Un prix au m² faible",J55*4,IF(Accueil!$L$19="Un prix au m² faible",J55*3,IF(Accueil!$L$22="Un prix au m² faible",J55*2,J55))))</f>
        <v>2</v>
      </c>
      <c r="S55" s="54">
        <f>IF(Accueil!$L$13="De nombreux hôtels",K55*5,IF(Accueil!$L$16="De nombreux hôtels",K55*4,IF(Accueil!$L$19="De nombreux hôtels",K55*3,IF(Accueil!$L$22="De nombreux hôtels",K55*2,K55))))</f>
        <v>5</v>
      </c>
      <c r="T55" s="60">
        <f t="shared" si="10"/>
        <v>25</v>
      </c>
      <c r="U55" s="61">
        <f t="shared" si="11"/>
        <v>46</v>
      </c>
    </row>
    <row r="56" spans="1:21" x14ac:dyDescent="0.2">
      <c r="A56" s="98" t="s">
        <v>67</v>
      </c>
      <c r="B56" s="100">
        <f t="shared" si="12"/>
        <v>7</v>
      </c>
      <c r="C56" s="102" t="s">
        <v>67</v>
      </c>
      <c r="D56" s="53">
        <f t="shared" si="2"/>
        <v>5</v>
      </c>
      <c r="E56" s="53">
        <f t="shared" si="3"/>
        <v>3</v>
      </c>
      <c r="F56" s="46">
        <f t="shared" si="4"/>
        <v>5</v>
      </c>
      <c r="G56" s="46">
        <f t="shared" si="5"/>
        <v>3</v>
      </c>
      <c r="H56" s="46">
        <f t="shared" si="6"/>
        <v>2</v>
      </c>
      <c r="I56" s="46">
        <f t="shared" si="7"/>
        <v>2</v>
      </c>
      <c r="J56" s="46">
        <f t="shared" si="8"/>
        <v>1</v>
      </c>
      <c r="K56" s="46">
        <f t="shared" si="9"/>
        <v>5</v>
      </c>
      <c r="L56" s="46">
        <f>IF(Accueil!$L$13="De nombreux habitants",D56*5,IF(Accueil!$L$16="De nombreux habitants",D56*4,IF(Accueil!$L$19="De nombreux habitants",D56*3,IF(Accueil!$L$22="De nombreux habitants",D56*2,D56))))</f>
        <v>5</v>
      </c>
      <c r="M56" s="46">
        <f>IF(Accueil!$L$13="Peu de chômage",E56*5,IF(Accueil!$L$16="Peu de chômage",E56*4,IF(Accueil!$L$19="Peu de chômage",E56*3,IF(Accueil!$L$22="Peu de chômage",E56*2,E56))))</f>
        <v>15</v>
      </c>
      <c r="N56" s="46">
        <f>IF(Accueil!$L$13="De nombreux restaurants",F56*5,IF(Accueil!$L$16="De nombreux restaurants",F56*4,IF(Accueil!$L$19="De nombreux restaurants",F56*3,IF(Accueil!$L$22="De nombreux restaurants",F56*2,F56))))</f>
        <v>5</v>
      </c>
      <c r="O56" s="46">
        <f>IF(Accueil!$L$13="Plusieurs écoles",G56*5,IF(Accueil!$L$16="Plusieurs écoles",G56*4,IF(Accueil!$L$19="Plusieurs écoles",G56*3,IF(Accueil!$L$22="Plusieurs écoles",G56*2,G56))))</f>
        <v>12</v>
      </c>
      <c r="P56" s="46">
        <f>IF(Accueil!$L$13="De nombreux hôpitaux",H56*5,IF(Accueil!$L$16="De nombreux hôpitaux",H56*4,IF(Accueil!$L$19="De nombreux hôpitaux",H56*3,IF(Accueil!$L$22="De nombreux hôpitaux",H56*2,H56))))</f>
        <v>2</v>
      </c>
      <c r="Q56" s="46">
        <f>IF(Accueil!$L$13="Peu de pluit",I56*5,IF(Accueil!$L$16="Peu de pluit",I56*4,IF(Accueil!$L$19="Peu de pluit",I56*3,IF(Accueil!$L$22="Peu de pluit",I56*2,I56))))</f>
        <v>4</v>
      </c>
      <c r="R56" s="46">
        <f>IF(Accueil!$L$13="Un prix au m² faible",J56*5,IF(Accueil!$L$16="Un prix au m² faible",J56*4,IF(Accueil!$L$19="Un prix au m² faible",J56*3,IF(Accueil!$L$22="Un prix au m² faible",J56*2,J56))))</f>
        <v>1</v>
      </c>
      <c r="S56" s="54">
        <f>IF(Accueil!$L$13="De nombreux hôtels",K56*5,IF(Accueil!$L$16="De nombreux hôtels",K56*4,IF(Accueil!$L$19="De nombreux hôtels",K56*3,IF(Accueil!$L$22="De nombreux hôtels",K56*2,K56))))</f>
        <v>5</v>
      </c>
      <c r="T56" s="60">
        <f t="shared" si="10"/>
        <v>26</v>
      </c>
      <c r="U56" s="61">
        <f t="shared" si="11"/>
        <v>49</v>
      </c>
    </row>
    <row r="57" spans="1:21" x14ac:dyDescent="0.2">
      <c r="A57" s="98" t="s">
        <v>68</v>
      </c>
      <c r="B57" s="100">
        <f t="shared" si="12"/>
        <v>5</v>
      </c>
      <c r="C57" s="102" t="s">
        <v>68</v>
      </c>
      <c r="D57" s="53">
        <f t="shared" si="2"/>
        <v>4</v>
      </c>
      <c r="E57" s="53">
        <f t="shared" si="3"/>
        <v>3</v>
      </c>
      <c r="F57" s="46">
        <f t="shared" si="4"/>
        <v>5</v>
      </c>
      <c r="G57" s="46">
        <f t="shared" si="5"/>
        <v>4</v>
      </c>
      <c r="H57" s="46">
        <f t="shared" si="6"/>
        <v>1</v>
      </c>
      <c r="I57" s="46">
        <f t="shared" si="7"/>
        <v>1</v>
      </c>
      <c r="J57" s="46">
        <f t="shared" si="8"/>
        <v>3</v>
      </c>
      <c r="K57" s="46">
        <f t="shared" si="9"/>
        <v>4</v>
      </c>
      <c r="L57" s="46">
        <f>IF(Accueil!$L$13="De nombreux habitants",D57*5,IF(Accueil!$L$16="De nombreux habitants",D57*4,IF(Accueil!$L$19="De nombreux habitants",D57*3,IF(Accueil!$L$22="De nombreux habitants",D57*2,D57))))</f>
        <v>4</v>
      </c>
      <c r="M57" s="46">
        <f>IF(Accueil!$L$13="Peu de chômage",E57*5,IF(Accueil!$L$16="Peu de chômage",E57*4,IF(Accueil!$L$19="Peu de chômage",E57*3,IF(Accueil!$L$22="Peu de chômage",E57*2,E57))))</f>
        <v>15</v>
      </c>
      <c r="N57" s="46">
        <f>IF(Accueil!$L$13="De nombreux restaurants",F57*5,IF(Accueil!$L$16="De nombreux restaurants",F57*4,IF(Accueil!$L$19="De nombreux restaurants",F57*3,IF(Accueil!$L$22="De nombreux restaurants",F57*2,F57))))</f>
        <v>5</v>
      </c>
      <c r="O57" s="46">
        <f>IF(Accueil!$L$13="Plusieurs écoles",G57*5,IF(Accueil!$L$16="Plusieurs écoles",G57*4,IF(Accueil!$L$19="Plusieurs écoles",G57*3,IF(Accueil!$L$22="Plusieurs écoles",G57*2,G57))))</f>
        <v>16</v>
      </c>
      <c r="P57" s="46">
        <f>IF(Accueil!$L$13="De nombreux hôpitaux",H57*5,IF(Accueil!$L$16="De nombreux hôpitaux",H57*4,IF(Accueil!$L$19="De nombreux hôpitaux",H57*3,IF(Accueil!$L$22="De nombreux hôpitaux",H57*2,H57))))</f>
        <v>1</v>
      </c>
      <c r="Q57" s="46">
        <f>IF(Accueil!$L$13="Peu de pluit",I57*5,IF(Accueil!$L$16="Peu de pluit",I57*4,IF(Accueil!$L$19="Peu de pluit",I57*3,IF(Accueil!$L$22="Peu de pluit",I57*2,I57))))</f>
        <v>2</v>
      </c>
      <c r="R57" s="46">
        <f>IF(Accueil!$L$13="Un prix au m² faible",J57*5,IF(Accueil!$L$16="Un prix au m² faible",J57*4,IF(Accueil!$L$19="Un prix au m² faible",J57*3,IF(Accueil!$L$22="Un prix au m² faible",J57*2,J57))))</f>
        <v>3</v>
      </c>
      <c r="S57" s="54">
        <f>IF(Accueil!$L$13="De nombreux hôtels",K57*5,IF(Accueil!$L$16="De nombreux hôtels",K57*4,IF(Accueil!$L$19="De nombreux hôtels",K57*3,IF(Accueil!$L$22="De nombreux hôtels",K57*2,K57))))</f>
        <v>4</v>
      </c>
      <c r="T57" s="60">
        <f t="shared" si="10"/>
        <v>25</v>
      </c>
      <c r="U57" s="61">
        <f t="shared" si="11"/>
        <v>50</v>
      </c>
    </row>
    <row r="58" spans="1:21" x14ac:dyDescent="0.2">
      <c r="A58" s="98" t="s">
        <v>69</v>
      </c>
      <c r="B58" s="100">
        <f t="shared" si="12"/>
        <v>2</v>
      </c>
      <c r="C58" s="102" t="s">
        <v>69</v>
      </c>
      <c r="D58" s="53">
        <f t="shared" si="2"/>
        <v>3</v>
      </c>
      <c r="E58" s="53">
        <f t="shared" si="3"/>
        <v>3</v>
      </c>
      <c r="F58" s="46">
        <f t="shared" si="4"/>
        <v>5</v>
      </c>
      <c r="G58" s="46">
        <f t="shared" si="5"/>
        <v>4</v>
      </c>
      <c r="H58" s="46">
        <f t="shared" si="6"/>
        <v>4</v>
      </c>
      <c r="I58" s="46">
        <f t="shared" si="7"/>
        <v>1</v>
      </c>
      <c r="J58" s="46">
        <f t="shared" si="8"/>
        <v>2</v>
      </c>
      <c r="K58" s="46">
        <f t="shared" si="9"/>
        <v>5</v>
      </c>
      <c r="L58" s="46">
        <f>IF(Accueil!$L$13="De nombreux habitants",D58*5,IF(Accueil!$L$16="De nombreux habitants",D58*4,IF(Accueil!$L$19="De nombreux habitants",D58*3,IF(Accueil!$L$22="De nombreux habitants",D58*2,D58))))</f>
        <v>3</v>
      </c>
      <c r="M58" s="46">
        <f>IF(Accueil!$L$13="Peu de chômage",E58*5,IF(Accueil!$L$16="Peu de chômage",E58*4,IF(Accueil!$L$19="Peu de chômage",E58*3,IF(Accueil!$L$22="Peu de chômage",E58*2,E58))))</f>
        <v>15</v>
      </c>
      <c r="N58" s="46">
        <f>IF(Accueil!$L$13="De nombreux restaurants",F58*5,IF(Accueil!$L$16="De nombreux restaurants",F58*4,IF(Accueil!$L$19="De nombreux restaurants",F58*3,IF(Accueil!$L$22="De nombreux restaurants",F58*2,F58))))</f>
        <v>5</v>
      </c>
      <c r="O58" s="46">
        <f>IF(Accueil!$L$13="Plusieurs écoles",G58*5,IF(Accueil!$L$16="Plusieurs écoles",G58*4,IF(Accueil!$L$19="Plusieurs écoles",G58*3,IF(Accueil!$L$22="Plusieurs écoles",G58*2,G58))))</f>
        <v>16</v>
      </c>
      <c r="P58" s="46">
        <f>IF(Accueil!$L$13="De nombreux hôpitaux",H58*5,IF(Accueil!$L$16="De nombreux hôpitaux",H58*4,IF(Accueil!$L$19="De nombreux hôpitaux",H58*3,IF(Accueil!$L$22="De nombreux hôpitaux",H58*2,H58))))</f>
        <v>4</v>
      </c>
      <c r="Q58" s="46">
        <f>IF(Accueil!$L$13="Peu de pluit",I58*5,IF(Accueil!$L$16="Peu de pluit",I58*4,IF(Accueil!$L$19="Peu de pluit",I58*3,IF(Accueil!$L$22="Peu de pluit",I58*2,I58))))</f>
        <v>2</v>
      </c>
      <c r="R58" s="46">
        <f>IF(Accueil!$L$13="Un prix au m² faible",J58*5,IF(Accueil!$L$16="Un prix au m² faible",J58*4,IF(Accueil!$L$19="Un prix au m² faible",J58*3,IF(Accueil!$L$22="Un prix au m² faible",J58*2,J58))))</f>
        <v>2</v>
      </c>
      <c r="S58" s="54">
        <f>IF(Accueil!$L$13="De nombreux hôtels",K58*5,IF(Accueil!$L$16="De nombreux hôtels",K58*4,IF(Accueil!$L$19="De nombreux hôtels",K58*3,IF(Accueil!$L$22="De nombreux hôtels",K58*2,K58))))</f>
        <v>5</v>
      </c>
      <c r="T58" s="60">
        <f t="shared" si="10"/>
        <v>27</v>
      </c>
      <c r="U58" s="61">
        <f t="shared" si="11"/>
        <v>52</v>
      </c>
    </row>
    <row r="59" spans="1:21" x14ac:dyDescent="0.2">
      <c r="A59" s="98" t="s">
        <v>17</v>
      </c>
      <c r="B59" s="100">
        <f t="shared" si="12"/>
        <v>12</v>
      </c>
      <c r="C59" s="102" t="s">
        <v>17</v>
      </c>
      <c r="D59" s="53">
        <f t="shared" si="2"/>
        <v>5</v>
      </c>
      <c r="E59" s="53">
        <f t="shared" si="3"/>
        <v>3</v>
      </c>
      <c r="F59" s="46">
        <f t="shared" si="4"/>
        <v>5</v>
      </c>
      <c r="G59" s="46">
        <f t="shared" si="5"/>
        <v>3</v>
      </c>
      <c r="H59" s="46">
        <f t="shared" si="6"/>
        <v>1</v>
      </c>
      <c r="I59" s="46">
        <f t="shared" si="7"/>
        <v>2</v>
      </c>
      <c r="J59" s="46">
        <f t="shared" si="8"/>
        <v>1</v>
      </c>
      <c r="K59" s="46">
        <f t="shared" si="9"/>
        <v>5</v>
      </c>
      <c r="L59" s="46">
        <f>IF(Accueil!$L$13="De nombreux habitants",D59*5,IF(Accueil!$L$16="De nombreux habitants",D59*4,IF(Accueil!$L$19="De nombreux habitants",D59*3,IF(Accueil!$L$22="De nombreux habitants",D59*2,D59))))</f>
        <v>5</v>
      </c>
      <c r="M59" s="46">
        <f>IF(Accueil!$L$13="Peu de chômage",E59*5,IF(Accueil!$L$16="Peu de chômage",E59*4,IF(Accueil!$L$19="Peu de chômage",E59*3,IF(Accueil!$L$22="Peu de chômage",E59*2,E59))))</f>
        <v>15</v>
      </c>
      <c r="N59" s="46">
        <f>IF(Accueil!$L$13="De nombreux restaurants",F59*5,IF(Accueil!$L$16="De nombreux restaurants",F59*4,IF(Accueil!$L$19="De nombreux restaurants",F59*3,IF(Accueil!$L$22="De nombreux restaurants",F59*2,F59))))</f>
        <v>5</v>
      </c>
      <c r="O59" s="46">
        <f>IF(Accueil!$L$13="Plusieurs écoles",G59*5,IF(Accueil!$L$16="Plusieurs écoles",G59*4,IF(Accueil!$L$19="Plusieurs écoles",G59*3,IF(Accueil!$L$22="Plusieurs écoles",G59*2,G59))))</f>
        <v>12</v>
      </c>
      <c r="P59" s="46">
        <f>IF(Accueil!$L$13="De nombreux hôpitaux",H59*5,IF(Accueil!$L$16="De nombreux hôpitaux",H59*4,IF(Accueil!$L$19="De nombreux hôpitaux",H59*3,IF(Accueil!$L$22="De nombreux hôpitaux",H59*2,H59))))</f>
        <v>1</v>
      </c>
      <c r="Q59" s="46">
        <f>IF(Accueil!$L$13="Peu de pluit",I59*5,IF(Accueil!$L$16="Peu de pluit",I59*4,IF(Accueil!$L$19="Peu de pluit",I59*3,IF(Accueil!$L$22="Peu de pluit",I59*2,I59))))</f>
        <v>4</v>
      </c>
      <c r="R59" s="46">
        <f>IF(Accueil!$L$13="Un prix au m² faible",J59*5,IF(Accueil!$L$16="Un prix au m² faible",J59*4,IF(Accueil!$L$19="Un prix au m² faible",J59*3,IF(Accueil!$L$22="Un prix au m² faible",J59*2,J59))))</f>
        <v>1</v>
      </c>
      <c r="S59" s="54">
        <f>IF(Accueil!$L$13="De nombreux hôtels",K59*5,IF(Accueil!$L$16="De nombreux hôtels",K59*4,IF(Accueil!$L$19="De nombreux hôtels",K59*3,IF(Accueil!$L$22="De nombreux hôtels",K59*2,K59))))</f>
        <v>5</v>
      </c>
      <c r="T59" s="60">
        <f t="shared" si="10"/>
        <v>25</v>
      </c>
      <c r="U59" s="61">
        <f t="shared" si="11"/>
        <v>48</v>
      </c>
    </row>
    <row r="60" spans="1:21" x14ac:dyDescent="0.2">
      <c r="A60" s="98" t="s">
        <v>70</v>
      </c>
      <c r="B60" s="100">
        <f t="shared" si="12"/>
        <v>30</v>
      </c>
      <c r="C60" s="102" t="s">
        <v>70</v>
      </c>
      <c r="D60" s="53">
        <f t="shared" si="2"/>
        <v>2</v>
      </c>
      <c r="E60" s="53">
        <f t="shared" si="3"/>
        <v>3</v>
      </c>
      <c r="F60" s="46">
        <f t="shared" si="4"/>
        <v>2</v>
      </c>
      <c r="G60" s="46">
        <f t="shared" si="5"/>
        <v>4</v>
      </c>
      <c r="H60" s="46">
        <f t="shared" si="6"/>
        <v>2</v>
      </c>
      <c r="I60" s="46">
        <f t="shared" si="7"/>
        <v>2</v>
      </c>
      <c r="J60" s="46">
        <f t="shared" si="8"/>
        <v>1</v>
      </c>
      <c r="K60" s="46">
        <f t="shared" si="9"/>
        <v>2</v>
      </c>
      <c r="L60" s="46">
        <f>IF(Accueil!$L$13="De nombreux habitants",D60*5,IF(Accueil!$L$16="De nombreux habitants",D60*4,IF(Accueil!$L$19="De nombreux habitants",D60*3,IF(Accueil!$L$22="De nombreux habitants",D60*2,D60))))</f>
        <v>2</v>
      </c>
      <c r="M60" s="46">
        <f>IF(Accueil!$L$13="Peu de chômage",E60*5,IF(Accueil!$L$16="Peu de chômage",E60*4,IF(Accueil!$L$19="Peu de chômage",E60*3,IF(Accueil!$L$22="Peu de chômage",E60*2,E60))))</f>
        <v>15</v>
      </c>
      <c r="N60" s="46">
        <f>IF(Accueil!$L$13="De nombreux restaurants",F60*5,IF(Accueil!$L$16="De nombreux restaurants",F60*4,IF(Accueil!$L$19="De nombreux restaurants",F60*3,IF(Accueil!$L$22="De nombreux restaurants",F60*2,F60))))</f>
        <v>2</v>
      </c>
      <c r="O60" s="46">
        <f>IF(Accueil!$L$13="Plusieurs écoles",G60*5,IF(Accueil!$L$16="Plusieurs écoles",G60*4,IF(Accueil!$L$19="Plusieurs écoles",G60*3,IF(Accueil!$L$22="Plusieurs écoles",G60*2,G60))))</f>
        <v>16</v>
      </c>
      <c r="P60" s="46">
        <f>IF(Accueil!$L$13="De nombreux hôpitaux",H60*5,IF(Accueil!$L$16="De nombreux hôpitaux",H60*4,IF(Accueil!$L$19="De nombreux hôpitaux",H60*3,IF(Accueil!$L$22="De nombreux hôpitaux",H60*2,H60))))</f>
        <v>2</v>
      </c>
      <c r="Q60" s="46">
        <f>IF(Accueil!$L$13="Peu de pluit",I60*5,IF(Accueil!$L$16="Peu de pluit",I60*4,IF(Accueil!$L$19="Peu de pluit",I60*3,IF(Accueil!$L$22="Peu de pluit",I60*2,I60))))</f>
        <v>4</v>
      </c>
      <c r="R60" s="46">
        <f>IF(Accueil!$L$13="Un prix au m² faible",J60*5,IF(Accueil!$L$16="Un prix au m² faible",J60*4,IF(Accueil!$L$19="Un prix au m² faible",J60*3,IF(Accueil!$L$22="Un prix au m² faible",J60*2,J60))))</f>
        <v>1</v>
      </c>
      <c r="S60" s="54">
        <f>IF(Accueil!$L$13="De nombreux hôtels",K60*5,IF(Accueil!$L$16="De nombreux hôtels",K60*4,IF(Accueil!$L$19="De nombreux hôtels",K60*3,IF(Accueil!$L$22="De nombreux hôtels",K60*2,K60))))</f>
        <v>2</v>
      </c>
      <c r="T60" s="60">
        <f t="shared" si="10"/>
        <v>18</v>
      </c>
      <c r="U60" s="61">
        <f t="shared" si="11"/>
        <v>44</v>
      </c>
    </row>
    <row r="61" spans="1:21" x14ac:dyDescent="0.2">
      <c r="A61" s="98" t="s">
        <v>71</v>
      </c>
      <c r="B61" s="100">
        <f t="shared" si="12"/>
        <v>12</v>
      </c>
      <c r="C61" s="102" t="s">
        <v>71</v>
      </c>
      <c r="D61" s="53">
        <f t="shared" si="2"/>
        <v>2</v>
      </c>
      <c r="E61" s="53">
        <f t="shared" si="3"/>
        <v>3</v>
      </c>
      <c r="F61" s="46">
        <f t="shared" si="4"/>
        <v>2</v>
      </c>
      <c r="G61" s="46">
        <f t="shared" si="5"/>
        <v>5</v>
      </c>
      <c r="H61" s="46">
        <f t="shared" si="6"/>
        <v>3</v>
      </c>
      <c r="I61" s="46">
        <f t="shared" si="7"/>
        <v>2</v>
      </c>
      <c r="J61" s="46">
        <f t="shared" si="8"/>
        <v>1</v>
      </c>
      <c r="K61" s="46">
        <f t="shared" si="9"/>
        <v>1</v>
      </c>
      <c r="L61" s="46">
        <f>IF(Accueil!$L$13="De nombreux habitants",D61*5,IF(Accueil!$L$16="De nombreux habitants",D61*4,IF(Accueil!$L$19="De nombreux habitants",D61*3,IF(Accueil!$L$22="De nombreux habitants",D61*2,D61))))</f>
        <v>2</v>
      </c>
      <c r="M61" s="46">
        <f>IF(Accueil!$L$13="Peu de chômage",E61*5,IF(Accueil!$L$16="Peu de chômage",E61*4,IF(Accueil!$L$19="Peu de chômage",E61*3,IF(Accueil!$L$22="Peu de chômage",E61*2,E61))))</f>
        <v>15</v>
      </c>
      <c r="N61" s="46">
        <f>IF(Accueil!$L$13="De nombreux restaurants",F61*5,IF(Accueil!$L$16="De nombreux restaurants",F61*4,IF(Accueil!$L$19="De nombreux restaurants",F61*3,IF(Accueil!$L$22="De nombreux restaurants",F61*2,F61))))</f>
        <v>2</v>
      </c>
      <c r="O61" s="46">
        <f>IF(Accueil!$L$13="Plusieurs écoles",G61*5,IF(Accueil!$L$16="Plusieurs écoles",G61*4,IF(Accueil!$L$19="Plusieurs écoles",G61*3,IF(Accueil!$L$22="Plusieurs écoles",G61*2,G61))))</f>
        <v>20</v>
      </c>
      <c r="P61" s="46">
        <f>IF(Accueil!$L$13="De nombreux hôpitaux",H61*5,IF(Accueil!$L$16="De nombreux hôpitaux",H61*4,IF(Accueil!$L$19="De nombreux hôpitaux",H61*3,IF(Accueil!$L$22="De nombreux hôpitaux",H61*2,H61))))</f>
        <v>3</v>
      </c>
      <c r="Q61" s="46">
        <f>IF(Accueil!$L$13="Peu de pluit",I61*5,IF(Accueil!$L$16="Peu de pluit",I61*4,IF(Accueil!$L$19="Peu de pluit",I61*3,IF(Accueil!$L$22="Peu de pluit",I61*2,I61))))</f>
        <v>4</v>
      </c>
      <c r="R61" s="46">
        <f>IF(Accueil!$L$13="Un prix au m² faible",J61*5,IF(Accueil!$L$16="Un prix au m² faible",J61*4,IF(Accueil!$L$19="Un prix au m² faible",J61*3,IF(Accueil!$L$22="Un prix au m² faible",J61*2,J61))))</f>
        <v>1</v>
      </c>
      <c r="S61" s="54">
        <f>IF(Accueil!$L$13="De nombreux hôtels",K61*5,IF(Accueil!$L$16="De nombreux hôtels",K61*4,IF(Accueil!$L$19="De nombreux hôtels",K61*3,IF(Accueil!$L$22="De nombreux hôtels",K61*2,K61))))</f>
        <v>1</v>
      </c>
      <c r="T61" s="60">
        <f t="shared" si="10"/>
        <v>19</v>
      </c>
      <c r="U61" s="61">
        <f t="shared" si="11"/>
        <v>48</v>
      </c>
    </row>
    <row r="62" spans="1:21" x14ac:dyDescent="0.2">
      <c r="A62" s="98" t="s">
        <v>72</v>
      </c>
      <c r="B62" s="100">
        <f t="shared" si="12"/>
        <v>36</v>
      </c>
      <c r="C62" s="102" t="s">
        <v>72</v>
      </c>
      <c r="D62" s="53">
        <f t="shared" si="2"/>
        <v>4</v>
      </c>
      <c r="E62" s="53">
        <f t="shared" si="3"/>
        <v>2</v>
      </c>
      <c r="F62" s="46">
        <f t="shared" si="4"/>
        <v>5</v>
      </c>
      <c r="G62" s="46">
        <f t="shared" si="5"/>
        <v>3</v>
      </c>
      <c r="H62" s="46">
        <f t="shared" si="6"/>
        <v>2</v>
      </c>
      <c r="I62" s="46">
        <f t="shared" si="7"/>
        <v>1</v>
      </c>
      <c r="J62" s="46">
        <f t="shared" si="8"/>
        <v>3</v>
      </c>
      <c r="K62" s="46">
        <f t="shared" si="9"/>
        <v>4</v>
      </c>
      <c r="L62" s="46">
        <f>IF(Accueil!$L$13="De nombreux habitants",D62*5,IF(Accueil!$L$16="De nombreux habitants",D62*4,IF(Accueil!$L$19="De nombreux habitants",D62*3,IF(Accueil!$L$22="De nombreux habitants",D62*2,D62))))</f>
        <v>4</v>
      </c>
      <c r="M62" s="46">
        <f>IF(Accueil!$L$13="Peu de chômage",E62*5,IF(Accueil!$L$16="Peu de chômage",E62*4,IF(Accueil!$L$19="Peu de chômage",E62*3,IF(Accueil!$L$22="Peu de chômage",E62*2,E62))))</f>
        <v>10</v>
      </c>
      <c r="N62" s="46">
        <f>IF(Accueil!$L$13="De nombreux restaurants",F62*5,IF(Accueil!$L$16="De nombreux restaurants",F62*4,IF(Accueil!$L$19="De nombreux restaurants",F62*3,IF(Accueil!$L$22="De nombreux restaurants",F62*2,F62))))</f>
        <v>5</v>
      </c>
      <c r="O62" s="46">
        <f>IF(Accueil!$L$13="Plusieurs écoles",G62*5,IF(Accueil!$L$16="Plusieurs écoles",G62*4,IF(Accueil!$L$19="Plusieurs écoles",G62*3,IF(Accueil!$L$22="Plusieurs écoles",G62*2,G62))))</f>
        <v>12</v>
      </c>
      <c r="P62" s="46">
        <f>IF(Accueil!$L$13="De nombreux hôpitaux",H62*5,IF(Accueil!$L$16="De nombreux hôpitaux",H62*4,IF(Accueil!$L$19="De nombreux hôpitaux",H62*3,IF(Accueil!$L$22="De nombreux hôpitaux",H62*2,H62))))</f>
        <v>2</v>
      </c>
      <c r="Q62" s="46">
        <f>IF(Accueil!$L$13="Peu de pluit",I62*5,IF(Accueil!$L$16="Peu de pluit",I62*4,IF(Accueil!$L$19="Peu de pluit",I62*3,IF(Accueil!$L$22="Peu de pluit",I62*2,I62))))</f>
        <v>2</v>
      </c>
      <c r="R62" s="46">
        <f>IF(Accueil!$L$13="Un prix au m² faible",J62*5,IF(Accueil!$L$16="Un prix au m² faible",J62*4,IF(Accueil!$L$19="Un prix au m² faible",J62*3,IF(Accueil!$L$22="Un prix au m² faible",J62*2,J62))))</f>
        <v>3</v>
      </c>
      <c r="S62" s="54">
        <f>IF(Accueil!$L$13="De nombreux hôtels",K62*5,IF(Accueil!$L$16="De nombreux hôtels",K62*4,IF(Accueil!$L$19="De nombreux hôtels",K62*3,IF(Accueil!$L$22="De nombreux hôtels",K62*2,K62))))</f>
        <v>4</v>
      </c>
      <c r="T62" s="60">
        <f t="shared" si="10"/>
        <v>24</v>
      </c>
      <c r="U62" s="61">
        <f t="shared" si="11"/>
        <v>42</v>
      </c>
    </row>
    <row r="63" spans="1:21" x14ac:dyDescent="0.2">
      <c r="A63" s="98" t="s">
        <v>73</v>
      </c>
      <c r="B63" s="100">
        <f t="shared" si="12"/>
        <v>4</v>
      </c>
      <c r="C63" s="102" t="s">
        <v>73</v>
      </c>
      <c r="D63" s="53">
        <f t="shared" si="2"/>
        <v>3</v>
      </c>
      <c r="E63" s="53">
        <f t="shared" si="3"/>
        <v>3</v>
      </c>
      <c r="F63" s="46">
        <f t="shared" si="4"/>
        <v>4</v>
      </c>
      <c r="G63" s="46">
        <f t="shared" si="5"/>
        <v>4</v>
      </c>
      <c r="H63" s="46">
        <f t="shared" si="6"/>
        <v>3</v>
      </c>
      <c r="I63" s="46">
        <f t="shared" si="7"/>
        <v>1</v>
      </c>
      <c r="J63" s="46">
        <f t="shared" si="8"/>
        <v>4</v>
      </c>
      <c r="K63" s="46">
        <f t="shared" si="9"/>
        <v>4</v>
      </c>
      <c r="L63" s="46">
        <f>IF(Accueil!$L$13="De nombreux habitants",D63*5,IF(Accueil!$L$16="De nombreux habitants",D63*4,IF(Accueil!$L$19="De nombreux habitants",D63*3,IF(Accueil!$L$22="De nombreux habitants",D63*2,D63))))</f>
        <v>3</v>
      </c>
      <c r="M63" s="46">
        <f>IF(Accueil!$L$13="Peu de chômage",E63*5,IF(Accueil!$L$16="Peu de chômage",E63*4,IF(Accueil!$L$19="Peu de chômage",E63*3,IF(Accueil!$L$22="Peu de chômage",E63*2,E63))))</f>
        <v>15</v>
      </c>
      <c r="N63" s="46">
        <f>IF(Accueil!$L$13="De nombreux restaurants",F63*5,IF(Accueil!$L$16="De nombreux restaurants",F63*4,IF(Accueil!$L$19="De nombreux restaurants",F63*3,IF(Accueil!$L$22="De nombreux restaurants",F63*2,F63))))</f>
        <v>4</v>
      </c>
      <c r="O63" s="46">
        <f>IF(Accueil!$L$13="Plusieurs écoles",G63*5,IF(Accueil!$L$16="Plusieurs écoles",G63*4,IF(Accueil!$L$19="Plusieurs écoles",G63*3,IF(Accueil!$L$22="Plusieurs écoles",G63*2,G63))))</f>
        <v>16</v>
      </c>
      <c r="P63" s="46">
        <f>IF(Accueil!$L$13="De nombreux hôpitaux",H63*5,IF(Accueil!$L$16="De nombreux hôpitaux",H63*4,IF(Accueil!$L$19="De nombreux hôpitaux",H63*3,IF(Accueil!$L$22="De nombreux hôpitaux",H63*2,H63))))</f>
        <v>3</v>
      </c>
      <c r="Q63" s="46">
        <f>IF(Accueil!$L$13="Peu de pluit",I63*5,IF(Accueil!$L$16="Peu de pluit",I63*4,IF(Accueil!$L$19="Peu de pluit",I63*3,IF(Accueil!$L$22="Peu de pluit",I63*2,I63))))</f>
        <v>2</v>
      </c>
      <c r="R63" s="46">
        <f>IF(Accueil!$L$13="Un prix au m² faible",J63*5,IF(Accueil!$L$16="Un prix au m² faible",J63*4,IF(Accueil!$L$19="Un prix au m² faible",J63*3,IF(Accueil!$L$22="Un prix au m² faible",J63*2,J63))))</f>
        <v>4</v>
      </c>
      <c r="S63" s="54">
        <f>IF(Accueil!$L$13="De nombreux hôtels",K63*5,IF(Accueil!$L$16="De nombreux hôtels",K63*4,IF(Accueil!$L$19="De nombreux hôtels",K63*3,IF(Accueil!$L$22="De nombreux hôtels",K63*2,K63))))</f>
        <v>4</v>
      </c>
      <c r="T63" s="60">
        <f t="shared" si="10"/>
        <v>26</v>
      </c>
      <c r="U63" s="61">
        <f t="shared" si="11"/>
        <v>51</v>
      </c>
    </row>
    <row r="64" spans="1:21" x14ac:dyDescent="0.2">
      <c r="A64" s="98" t="s">
        <v>74</v>
      </c>
      <c r="B64" s="100">
        <f t="shared" si="12"/>
        <v>7</v>
      </c>
      <c r="C64" s="102" t="s">
        <v>74</v>
      </c>
      <c r="D64" s="53">
        <f t="shared" si="2"/>
        <v>5</v>
      </c>
      <c r="E64" s="53">
        <f t="shared" si="3"/>
        <v>3</v>
      </c>
      <c r="F64" s="46">
        <f t="shared" si="4"/>
        <v>5</v>
      </c>
      <c r="G64" s="46">
        <f t="shared" si="5"/>
        <v>3</v>
      </c>
      <c r="H64" s="46">
        <f t="shared" si="6"/>
        <v>2</v>
      </c>
      <c r="I64" s="46">
        <f t="shared" si="7"/>
        <v>2</v>
      </c>
      <c r="J64" s="46">
        <f t="shared" si="8"/>
        <v>1</v>
      </c>
      <c r="K64" s="46">
        <f t="shared" si="9"/>
        <v>5</v>
      </c>
      <c r="L64" s="46">
        <f>IF(Accueil!$L$13="De nombreux habitants",D64*5,IF(Accueil!$L$16="De nombreux habitants",D64*4,IF(Accueil!$L$19="De nombreux habitants",D64*3,IF(Accueil!$L$22="De nombreux habitants",D64*2,D64))))</f>
        <v>5</v>
      </c>
      <c r="M64" s="46">
        <f>IF(Accueil!$L$13="Peu de chômage",E64*5,IF(Accueil!$L$16="Peu de chômage",E64*4,IF(Accueil!$L$19="Peu de chômage",E64*3,IF(Accueil!$L$22="Peu de chômage",E64*2,E64))))</f>
        <v>15</v>
      </c>
      <c r="N64" s="46">
        <f>IF(Accueil!$L$13="De nombreux restaurants",F64*5,IF(Accueil!$L$16="De nombreux restaurants",F64*4,IF(Accueil!$L$19="De nombreux restaurants",F64*3,IF(Accueil!$L$22="De nombreux restaurants",F64*2,F64))))</f>
        <v>5</v>
      </c>
      <c r="O64" s="46">
        <f>IF(Accueil!$L$13="Plusieurs écoles",G64*5,IF(Accueil!$L$16="Plusieurs écoles",G64*4,IF(Accueil!$L$19="Plusieurs écoles",G64*3,IF(Accueil!$L$22="Plusieurs écoles",G64*2,G64))))</f>
        <v>12</v>
      </c>
      <c r="P64" s="46">
        <f>IF(Accueil!$L$13="De nombreux hôpitaux",H64*5,IF(Accueil!$L$16="De nombreux hôpitaux",H64*4,IF(Accueil!$L$19="De nombreux hôpitaux",H64*3,IF(Accueil!$L$22="De nombreux hôpitaux",H64*2,H64))))</f>
        <v>2</v>
      </c>
      <c r="Q64" s="46">
        <f>IF(Accueil!$L$13="Peu de pluit",I64*5,IF(Accueil!$L$16="Peu de pluit",I64*4,IF(Accueil!$L$19="Peu de pluit",I64*3,IF(Accueil!$L$22="Peu de pluit",I64*2,I64))))</f>
        <v>4</v>
      </c>
      <c r="R64" s="46">
        <f>IF(Accueil!$L$13="Un prix au m² faible",J64*5,IF(Accueil!$L$16="Un prix au m² faible",J64*4,IF(Accueil!$L$19="Un prix au m² faible",J64*3,IF(Accueil!$L$22="Un prix au m² faible",J64*2,J64))))</f>
        <v>1</v>
      </c>
      <c r="S64" s="54">
        <f>IF(Accueil!$L$13="De nombreux hôtels",K64*5,IF(Accueil!$L$16="De nombreux hôtels",K64*4,IF(Accueil!$L$19="De nombreux hôtels",K64*3,IF(Accueil!$L$22="De nombreux hôtels",K64*2,K64))))</f>
        <v>5</v>
      </c>
      <c r="T64" s="60">
        <f t="shared" si="10"/>
        <v>26</v>
      </c>
      <c r="U64" s="61">
        <f t="shared" si="11"/>
        <v>49</v>
      </c>
    </row>
    <row r="65" spans="1:21" x14ac:dyDescent="0.2">
      <c r="A65" s="98" t="s">
        <v>75</v>
      </c>
      <c r="B65" s="100">
        <f t="shared" si="12"/>
        <v>7</v>
      </c>
      <c r="C65" s="102" t="s">
        <v>75</v>
      </c>
      <c r="D65" s="53">
        <f t="shared" si="2"/>
        <v>5</v>
      </c>
      <c r="E65" s="53">
        <f t="shared" si="3"/>
        <v>2</v>
      </c>
      <c r="F65" s="46">
        <f t="shared" si="4"/>
        <v>5</v>
      </c>
      <c r="G65" s="46">
        <f t="shared" si="5"/>
        <v>4</v>
      </c>
      <c r="H65" s="46">
        <f t="shared" si="6"/>
        <v>3</v>
      </c>
      <c r="I65" s="46">
        <f t="shared" si="7"/>
        <v>2</v>
      </c>
      <c r="J65" s="46">
        <f t="shared" si="8"/>
        <v>1</v>
      </c>
      <c r="K65" s="46">
        <f t="shared" si="9"/>
        <v>5</v>
      </c>
      <c r="L65" s="46">
        <f>IF(Accueil!$L$13="De nombreux habitants",D65*5,IF(Accueil!$L$16="De nombreux habitants",D65*4,IF(Accueil!$L$19="De nombreux habitants",D65*3,IF(Accueil!$L$22="De nombreux habitants",D65*2,D65))))</f>
        <v>5</v>
      </c>
      <c r="M65" s="46">
        <f>IF(Accueil!$L$13="Peu de chômage",E65*5,IF(Accueil!$L$16="Peu de chômage",E65*4,IF(Accueil!$L$19="Peu de chômage",E65*3,IF(Accueil!$L$22="Peu de chômage",E65*2,E65))))</f>
        <v>10</v>
      </c>
      <c r="N65" s="46">
        <f>IF(Accueil!$L$13="De nombreux restaurants",F65*5,IF(Accueil!$L$16="De nombreux restaurants",F65*4,IF(Accueil!$L$19="De nombreux restaurants",F65*3,IF(Accueil!$L$22="De nombreux restaurants",F65*2,F65))))</f>
        <v>5</v>
      </c>
      <c r="O65" s="46">
        <f>IF(Accueil!$L$13="Plusieurs écoles",G65*5,IF(Accueil!$L$16="Plusieurs écoles",G65*4,IF(Accueil!$L$19="Plusieurs écoles",G65*3,IF(Accueil!$L$22="Plusieurs écoles",G65*2,G65))))</f>
        <v>16</v>
      </c>
      <c r="P65" s="46">
        <f>IF(Accueil!$L$13="De nombreux hôpitaux",H65*5,IF(Accueil!$L$16="De nombreux hôpitaux",H65*4,IF(Accueil!$L$19="De nombreux hôpitaux",H65*3,IF(Accueil!$L$22="De nombreux hôpitaux",H65*2,H65))))</f>
        <v>3</v>
      </c>
      <c r="Q65" s="46">
        <f>IF(Accueil!$L$13="Peu de pluit",I65*5,IF(Accueil!$L$16="Peu de pluit",I65*4,IF(Accueil!$L$19="Peu de pluit",I65*3,IF(Accueil!$L$22="Peu de pluit",I65*2,I65))))</f>
        <v>4</v>
      </c>
      <c r="R65" s="46">
        <f>IF(Accueil!$L$13="Un prix au m² faible",J65*5,IF(Accueil!$L$16="Un prix au m² faible",J65*4,IF(Accueil!$L$19="Un prix au m² faible",J65*3,IF(Accueil!$L$22="Un prix au m² faible",J65*2,J65))))</f>
        <v>1</v>
      </c>
      <c r="S65" s="54">
        <f>IF(Accueil!$L$13="De nombreux hôtels",K65*5,IF(Accueil!$L$16="De nombreux hôtels",K65*4,IF(Accueil!$L$19="De nombreux hôtels",K65*3,IF(Accueil!$L$22="De nombreux hôtels",K65*2,K65))))</f>
        <v>5</v>
      </c>
      <c r="T65" s="60">
        <f t="shared" si="10"/>
        <v>27</v>
      </c>
      <c r="U65" s="61">
        <f t="shared" si="11"/>
        <v>49</v>
      </c>
    </row>
    <row r="66" spans="1:21" x14ac:dyDescent="0.2">
      <c r="A66" s="98" t="s">
        <v>76</v>
      </c>
      <c r="B66" s="100">
        <f t="shared" si="12"/>
        <v>27</v>
      </c>
      <c r="C66" s="102" t="s">
        <v>76</v>
      </c>
      <c r="D66" s="53">
        <f t="shared" si="2"/>
        <v>4</v>
      </c>
      <c r="E66" s="53">
        <f t="shared" si="3"/>
        <v>2</v>
      </c>
      <c r="F66" s="46">
        <f t="shared" si="4"/>
        <v>5</v>
      </c>
      <c r="G66" s="46">
        <f t="shared" si="5"/>
        <v>4</v>
      </c>
      <c r="H66" s="46">
        <f t="shared" si="6"/>
        <v>2</v>
      </c>
      <c r="I66" s="46">
        <f t="shared" si="7"/>
        <v>1</v>
      </c>
      <c r="J66" s="46">
        <f t="shared" si="8"/>
        <v>2</v>
      </c>
      <c r="K66" s="46">
        <f t="shared" si="9"/>
        <v>4</v>
      </c>
      <c r="L66" s="46">
        <f>IF(Accueil!$L$13="De nombreux habitants",D66*5,IF(Accueil!$L$16="De nombreux habitants",D66*4,IF(Accueil!$L$19="De nombreux habitants",D66*3,IF(Accueil!$L$22="De nombreux habitants",D66*2,D66))))</f>
        <v>4</v>
      </c>
      <c r="M66" s="46">
        <f>IF(Accueil!$L$13="Peu de chômage",E66*5,IF(Accueil!$L$16="Peu de chômage",E66*4,IF(Accueil!$L$19="Peu de chômage",E66*3,IF(Accueil!$L$22="Peu de chômage",E66*2,E66))))</f>
        <v>10</v>
      </c>
      <c r="N66" s="46">
        <f>IF(Accueil!$L$13="De nombreux restaurants",F66*5,IF(Accueil!$L$16="De nombreux restaurants",F66*4,IF(Accueil!$L$19="De nombreux restaurants",F66*3,IF(Accueil!$L$22="De nombreux restaurants",F66*2,F66))))</f>
        <v>5</v>
      </c>
      <c r="O66" s="46">
        <f>IF(Accueil!$L$13="Plusieurs écoles",G66*5,IF(Accueil!$L$16="Plusieurs écoles",G66*4,IF(Accueil!$L$19="Plusieurs écoles",G66*3,IF(Accueil!$L$22="Plusieurs écoles",G66*2,G66))))</f>
        <v>16</v>
      </c>
      <c r="P66" s="46">
        <f>IF(Accueil!$L$13="De nombreux hôpitaux",H66*5,IF(Accueil!$L$16="De nombreux hôpitaux",H66*4,IF(Accueil!$L$19="De nombreux hôpitaux",H66*3,IF(Accueil!$L$22="De nombreux hôpitaux",H66*2,H66))))</f>
        <v>2</v>
      </c>
      <c r="Q66" s="46">
        <f>IF(Accueil!$L$13="Peu de pluit",I66*5,IF(Accueil!$L$16="Peu de pluit",I66*4,IF(Accueil!$L$19="Peu de pluit",I66*3,IF(Accueil!$L$22="Peu de pluit",I66*2,I66))))</f>
        <v>2</v>
      </c>
      <c r="R66" s="46">
        <f>IF(Accueil!$L$13="Un prix au m² faible",J66*5,IF(Accueil!$L$16="Un prix au m² faible",J66*4,IF(Accueil!$L$19="Un prix au m² faible",J66*3,IF(Accueil!$L$22="Un prix au m² faible",J66*2,J66))))</f>
        <v>2</v>
      </c>
      <c r="S66" s="54">
        <f>IF(Accueil!$L$13="De nombreux hôtels",K66*5,IF(Accueil!$L$16="De nombreux hôtels",K66*4,IF(Accueil!$L$19="De nombreux hôtels",K66*3,IF(Accueil!$L$22="De nombreux hôtels",K66*2,K66))))</f>
        <v>4</v>
      </c>
      <c r="T66" s="60">
        <f t="shared" si="10"/>
        <v>24</v>
      </c>
      <c r="U66" s="61">
        <f t="shared" si="11"/>
        <v>45</v>
      </c>
    </row>
    <row r="67" spans="1:21" x14ac:dyDescent="0.2">
      <c r="A67" s="98" t="s">
        <v>77</v>
      </c>
      <c r="B67" s="100">
        <f t="shared" si="12"/>
        <v>16</v>
      </c>
      <c r="C67" s="102" t="s">
        <v>77</v>
      </c>
      <c r="D67" s="53">
        <f t="shared" si="2"/>
        <v>4</v>
      </c>
      <c r="E67" s="53">
        <f t="shared" si="3"/>
        <v>2</v>
      </c>
      <c r="F67" s="46">
        <f t="shared" si="4"/>
        <v>5</v>
      </c>
      <c r="G67" s="46">
        <f t="shared" si="5"/>
        <v>4</v>
      </c>
      <c r="H67" s="46">
        <f t="shared" si="6"/>
        <v>1</v>
      </c>
      <c r="I67" s="46">
        <f t="shared" si="7"/>
        <v>2</v>
      </c>
      <c r="J67" s="46">
        <f t="shared" si="8"/>
        <v>3</v>
      </c>
      <c r="K67" s="46">
        <f t="shared" si="9"/>
        <v>4</v>
      </c>
      <c r="L67" s="46">
        <f>IF(Accueil!$L$13="De nombreux habitants",D67*5,IF(Accueil!$L$16="De nombreux habitants",D67*4,IF(Accueil!$L$19="De nombreux habitants",D67*3,IF(Accueil!$L$22="De nombreux habitants",D67*2,D67))))</f>
        <v>4</v>
      </c>
      <c r="M67" s="46">
        <f>IF(Accueil!$L$13="Peu de chômage",E67*5,IF(Accueil!$L$16="Peu de chômage",E67*4,IF(Accueil!$L$19="Peu de chômage",E67*3,IF(Accueil!$L$22="Peu de chômage",E67*2,E67))))</f>
        <v>10</v>
      </c>
      <c r="N67" s="46">
        <f>IF(Accueil!$L$13="De nombreux restaurants",F67*5,IF(Accueil!$L$16="De nombreux restaurants",F67*4,IF(Accueil!$L$19="De nombreux restaurants",F67*3,IF(Accueil!$L$22="De nombreux restaurants",F67*2,F67))))</f>
        <v>5</v>
      </c>
      <c r="O67" s="46">
        <f>IF(Accueil!$L$13="Plusieurs écoles",G67*5,IF(Accueil!$L$16="Plusieurs écoles",G67*4,IF(Accueil!$L$19="Plusieurs écoles",G67*3,IF(Accueil!$L$22="Plusieurs écoles",G67*2,G67))))</f>
        <v>16</v>
      </c>
      <c r="P67" s="46">
        <f>IF(Accueil!$L$13="De nombreux hôpitaux",H67*5,IF(Accueil!$L$16="De nombreux hôpitaux",H67*4,IF(Accueil!$L$19="De nombreux hôpitaux",H67*3,IF(Accueil!$L$22="De nombreux hôpitaux",H67*2,H67))))</f>
        <v>1</v>
      </c>
      <c r="Q67" s="46">
        <f>IF(Accueil!$L$13="Peu de pluit",I67*5,IF(Accueil!$L$16="Peu de pluit",I67*4,IF(Accueil!$L$19="Peu de pluit",I67*3,IF(Accueil!$L$22="Peu de pluit",I67*2,I67))))</f>
        <v>4</v>
      </c>
      <c r="R67" s="46">
        <f>IF(Accueil!$L$13="Un prix au m² faible",J67*5,IF(Accueil!$L$16="Un prix au m² faible",J67*4,IF(Accueil!$L$19="Un prix au m² faible",J67*3,IF(Accueil!$L$22="Un prix au m² faible",J67*2,J67))))</f>
        <v>3</v>
      </c>
      <c r="S67" s="54">
        <f>IF(Accueil!$L$13="De nombreux hôtels",K67*5,IF(Accueil!$L$16="De nombreux hôtels",K67*4,IF(Accueil!$L$19="De nombreux hôtels",K67*3,IF(Accueil!$L$22="De nombreux hôtels",K67*2,K67))))</f>
        <v>4</v>
      </c>
      <c r="T67" s="60">
        <f t="shared" si="10"/>
        <v>25</v>
      </c>
      <c r="U67" s="61">
        <f t="shared" si="11"/>
        <v>47</v>
      </c>
    </row>
    <row r="68" spans="1:21" x14ac:dyDescent="0.2">
      <c r="A68" s="98" t="s">
        <v>15</v>
      </c>
      <c r="B68" s="100">
        <f t="shared" si="12"/>
        <v>5</v>
      </c>
      <c r="C68" s="102" t="s">
        <v>15</v>
      </c>
      <c r="D68" s="53">
        <f t="shared" si="2"/>
        <v>3</v>
      </c>
      <c r="E68" s="53">
        <f t="shared" si="3"/>
        <v>3</v>
      </c>
      <c r="F68" s="46">
        <f t="shared" si="4"/>
        <v>5</v>
      </c>
      <c r="G68" s="46">
        <f t="shared" si="5"/>
        <v>4</v>
      </c>
      <c r="H68" s="46">
        <f t="shared" si="6"/>
        <v>1</v>
      </c>
      <c r="I68" s="46">
        <f t="shared" si="7"/>
        <v>2</v>
      </c>
      <c r="J68" s="46">
        <f t="shared" si="8"/>
        <v>2</v>
      </c>
      <c r="K68" s="46">
        <f t="shared" si="9"/>
        <v>4</v>
      </c>
      <c r="L68" s="46">
        <f>IF(Accueil!$L$13="De nombreux habitants",D68*5,IF(Accueil!$L$16="De nombreux habitants",D68*4,IF(Accueil!$L$19="De nombreux habitants",D68*3,IF(Accueil!$L$22="De nombreux habitants",D68*2,D68))))</f>
        <v>3</v>
      </c>
      <c r="M68" s="46">
        <f>IF(Accueil!$L$13="Peu de chômage",E68*5,IF(Accueil!$L$16="Peu de chômage",E68*4,IF(Accueil!$L$19="Peu de chômage",E68*3,IF(Accueil!$L$22="Peu de chômage",E68*2,E68))))</f>
        <v>15</v>
      </c>
      <c r="N68" s="46">
        <f>IF(Accueil!$L$13="De nombreux restaurants",F68*5,IF(Accueil!$L$16="De nombreux restaurants",F68*4,IF(Accueil!$L$19="De nombreux restaurants",F68*3,IF(Accueil!$L$22="De nombreux restaurants",F68*2,F68))))</f>
        <v>5</v>
      </c>
      <c r="O68" s="46">
        <f>IF(Accueil!$L$13="Plusieurs écoles",G68*5,IF(Accueil!$L$16="Plusieurs écoles",G68*4,IF(Accueil!$L$19="Plusieurs écoles",G68*3,IF(Accueil!$L$22="Plusieurs écoles",G68*2,G68))))</f>
        <v>16</v>
      </c>
      <c r="P68" s="46">
        <f>IF(Accueil!$L$13="De nombreux hôpitaux",H68*5,IF(Accueil!$L$16="De nombreux hôpitaux",H68*4,IF(Accueil!$L$19="De nombreux hôpitaux",H68*3,IF(Accueil!$L$22="De nombreux hôpitaux",H68*2,H68))))</f>
        <v>1</v>
      </c>
      <c r="Q68" s="46">
        <f>IF(Accueil!$L$13="Peu de pluit",I68*5,IF(Accueil!$L$16="Peu de pluit",I68*4,IF(Accueil!$L$19="Peu de pluit",I68*3,IF(Accueil!$L$22="Peu de pluit",I68*2,I68))))</f>
        <v>4</v>
      </c>
      <c r="R68" s="46">
        <f>IF(Accueil!$L$13="Un prix au m² faible",J68*5,IF(Accueil!$L$16="Un prix au m² faible",J68*4,IF(Accueil!$L$19="Un prix au m² faible",J68*3,IF(Accueil!$L$22="Un prix au m² faible",J68*2,J68))))</f>
        <v>2</v>
      </c>
      <c r="S68" s="54">
        <f>IF(Accueil!$L$13="De nombreux hôtels",K68*5,IF(Accueil!$L$16="De nombreux hôtels",K68*4,IF(Accueil!$L$19="De nombreux hôtels",K68*3,IF(Accueil!$L$22="De nombreux hôtels",K68*2,K68))))</f>
        <v>4</v>
      </c>
      <c r="T68" s="60">
        <f t="shared" si="10"/>
        <v>24</v>
      </c>
      <c r="U68" s="61">
        <f t="shared" si="11"/>
        <v>50</v>
      </c>
    </row>
    <row r="69" spans="1:21" x14ac:dyDescent="0.2">
      <c r="A69" s="98" t="s">
        <v>78</v>
      </c>
      <c r="B69" s="100">
        <f t="shared" si="12"/>
        <v>12</v>
      </c>
      <c r="C69" s="102" t="s">
        <v>78</v>
      </c>
      <c r="D69" s="53">
        <f t="shared" si="2"/>
        <v>4</v>
      </c>
      <c r="E69" s="53">
        <f t="shared" si="3"/>
        <v>2</v>
      </c>
      <c r="F69" s="46">
        <f t="shared" si="4"/>
        <v>5</v>
      </c>
      <c r="G69" s="46">
        <f t="shared" si="5"/>
        <v>4</v>
      </c>
      <c r="H69" s="46">
        <f t="shared" si="6"/>
        <v>3</v>
      </c>
      <c r="I69" s="46">
        <f t="shared" si="7"/>
        <v>2</v>
      </c>
      <c r="J69" s="46">
        <f t="shared" si="8"/>
        <v>1</v>
      </c>
      <c r="K69" s="46">
        <f t="shared" si="9"/>
        <v>5</v>
      </c>
      <c r="L69" s="46">
        <f>IF(Accueil!$L$13="De nombreux habitants",D69*5,IF(Accueil!$L$16="De nombreux habitants",D69*4,IF(Accueil!$L$19="De nombreux habitants",D69*3,IF(Accueil!$L$22="De nombreux habitants",D69*2,D69))))</f>
        <v>4</v>
      </c>
      <c r="M69" s="46">
        <f>IF(Accueil!$L$13="Peu de chômage",E69*5,IF(Accueil!$L$16="Peu de chômage",E69*4,IF(Accueil!$L$19="Peu de chômage",E69*3,IF(Accueil!$L$22="Peu de chômage",E69*2,E69))))</f>
        <v>10</v>
      </c>
      <c r="N69" s="46">
        <f>IF(Accueil!$L$13="De nombreux restaurants",F69*5,IF(Accueil!$L$16="De nombreux restaurants",F69*4,IF(Accueil!$L$19="De nombreux restaurants",F69*3,IF(Accueil!$L$22="De nombreux restaurants",F69*2,F69))))</f>
        <v>5</v>
      </c>
      <c r="O69" s="46">
        <f>IF(Accueil!$L$13="Plusieurs écoles",G69*5,IF(Accueil!$L$16="Plusieurs écoles",G69*4,IF(Accueil!$L$19="Plusieurs écoles",G69*3,IF(Accueil!$L$22="Plusieurs écoles",G69*2,G69))))</f>
        <v>16</v>
      </c>
      <c r="P69" s="46">
        <f>IF(Accueil!$L$13="De nombreux hôpitaux",H69*5,IF(Accueil!$L$16="De nombreux hôpitaux",H69*4,IF(Accueil!$L$19="De nombreux hôpitaux",H69*3,IF(Accueil!$L$22="De nombreux hôpitaux",H69*2,H69))))</f>
        <v>3</v>
      </c>
      <c r="Q69" s="46">
        <f>IF(Accueil!$L$13="Peu de pluit",I69*5,IF(Accueil!$L$16="Peu de pluit",I69*4,IF(Accueil!$L$19="Peu de pluit",I69*3,IF(Accueil!$L$22="Peu de pluit",I69*2,I69))))</f>
        <v>4</v>
      </c>
      <c r="R69" s="46">
        <f>IF(Accueil!$L$13="Un prix au m² faible",J69*5,IF(Accueil!$L$16="Un prix au m² faible",J69*4,IF(Accueil!$L$19="Un prix au m² faible",J69*3,IF(Accueil!$L$22="Un prix au m² faible",J69*2,J69))))</f>
        <v>1</v>
      </c>
      <c r="S69" s="54">
        <f>IF(Accueil!$L$13="De nombreux hôtels",K69*5,IF(Accueil!$L$16="De nombreux hôtels",K69*4,IF(Accueil!$L$19="De nombreux hôtels",K69*3,IF(Accueil!$L$22="De nombreux hôtels",K69*2,K69))))</f>
        <v>5</v>
      </c>
      <c r="T69" s="60">
        <f t="shared" si="10"/>
        <v>26</v>
      </c>
      <c r="U69" s="61">
        <f t="shared" si="11"/>
        <v>48</v>
      </c>
    </row>
    <row r="70" spans="1:21" x14ac:dyDescent="0.2">
      <c r="A70" s="98" t="s">
        <v>79</v>
      </c>
      <c r="B70" s="100">
        <f t="shared" si="12"/>
        <v>16</v>
      </c>
      <c r="C70" s="102" t="s">
        <v>79</v>
      </c>
      <c r="D70" s="53">
        <f t="shared" si="2"/>
        <v>2</v>
      </c>
      <c r="E70" s="53">
        <f t="shared" si="3"/>
        <v>2</v>
      </c>
      <c r="F70" s="46">
        <f t="shared" si="4"/>
        <v>3</v>
      </c>
      <c r="G70" s="46">
        <f t="shared" si="5"/>
        <v>5</v>
      </c>
      <c r="H70" s="46">
        <f t="shared" si="6"/>
        <v>1</v>
      </c>
      <c r="I70" s="46">
        <f t="shared" si="7"/>
        <v>2</v>
      </c>
      <c r="J70" s="46">
        <f t="shared" si="8"/>
        <v>3</v>
      </c>
      <c r="K70" s="46">
        <f t="shared" si="9"/>
        <v>4</v>
      </c>
      <c r="L70" s="46">
        <f>IF(Accueil!$L$13="De nombreux habitants",D70*5,IF(Accueil!$L$16="De nombreux habitants",D70*4,IF(Accueil!$L$19="De nombreux habitants",D70*3,IF(Accueil!$L$22="De nombreux habitants",D70*2,D70))))</f>
        <v>2</v>
      </c>
      <c r="M70" s="46">
        <f>IF(Accueil!$L$13="Peu de chômage",E70*5,IF(Accueil!$L$16="Peu de chômage",E70*4,IF(Accueil!$L$19="Peu de chômage",E70*3,IF(Accueil!$L$22="Peu de chômage",E70*2,E70))))</f>
        <v>10</v>
      </c>
      <c r="N70" s="46">
        <f>IF(Accueil!$L$13="De nombreux restaurants",F70*5,IF(Accueil!$L$16="De nombreux restaurants",F70*4,IF(Accueil!$L$19="De nombreux restaurants",F70*3,IF(Accueil!$L$22="De nombreux restaurants",F70*2,F70))))</f>
        <v>3</v>
      </c>
      <c r="O70" s="46">
        <f>IF(Accueil!$L$13="Plusieurs écoles",G70*5,IF(Accueil!$L$16="Plusieurs écoles",G70*4,IF(Accueil!$L$19="Plusieurs écoles",G70*3,IF(Accueil!$L$22="Plusieurs écoles",G70*2,G70))))</f>
        <v>20</v>
      </c>
      <c r="P70" s="46">
        <f>IF(Accueil!$L$13="De nombreux hôpitaux",H70*5,IF(Accueil!$L$16="De nombreux hôpitaux",H70*4,IF(Accueil!$L$19="De nombreux hôpitaux",H70*3,IF(Accueil!$L$22="De nombreux hôpitaux",H70*2,H70))))</f>
        <v>1</v>
      </c>
      <c r="Q70" s="46">
        <f>IF(Accueil!$L$13="Peu de pluit",I70*5,IF(Accueil!$L$16="Peu de pluit",I70*4,IF(Accueil!$L$19="Peu de pluit",I70*3,IF(Accueil!$L$22="Peu de pluit",I70*2,I70))))</f>
        <v>4</v>
      </c>
      <c r="R70" s="46">
        <f>IF(Accueil!$L$13="Un prix au m² faible",J70*5,IF(Accueil!$L$16="Un prix au m² faible",J70*4,IF(Accueil!$L$19="Un prix au m² faible",J70*3,IF(Accueil!$L$22="Un prix au m² faible",J70*2,J70))))</f>
        <v>3</v>
      </c>
      <c r="S70" s="54">
        <f>IF(Accueil!$L$13="De nombreux hôtels",K70*5,IF(Accueil!$L$16="De nombreux hôtels",K70*4,IF(Accueil!$L$19="De nombreux hôtels",K70*3,IF(Accueil!$L$22="De nombreux hôtels",K70*2,K70))))</f>
        <v>4</v>
      </c>
      <c r="T70" s="60">
        <f t="shared" si="10"/>
        <v>22</v>
      </c>
      <c r="U70" s="61">
        <f t="shared" si="11"/>
        <v>47</v>
      </c>
    </row>
    <row r="71" spans="1:21" x14ac:dyDescent="0.2">
      <c r="A71" s="98" t="s">
        <v>80</v>
      </c>
      <c r="B71" s="100">
        <f t="shared" si="12"/>
        <v>7</v>
      </c>
      <c r="C71" s="102" t="s">
        <v>80</v>
      </c>
      <c r="D71" s="53">
        <f t="shared" si="2"/>
        <v>3</v>
      </c>
      <c r="E71" s="53">
        <f t="shared" si="3"/>
        <v>3</v>
      </c>
      <c r="F71" s="46">
        <f t="shared" si="4"/>
        <v>5</v>
      </c>
      <c r="G71" s="46">
        <f t="shared" si="5"/>
        <v>4</v>
      </c>
      <c r="H71" s="46">
        <f t="shared" si="6"/>
        <v>2</v>
      </c>
      <c r="I71" s="46">
        <f t="shared" si="7"/>
        <v>1</v>
      </c>
      <c r="J71" s="46">
        <f t="shared" si="8"/>
        <v>2</v>
      </c>
      <c r="K71" s="46">
        <f t="shared" si="9"/>
        <v>4</v>
      </c>
      <c r="L71" s="46">
        <f>IF(Accueil!$L$13="De nombreux habitants",D71*5,IF(Accueil!$L$16="De nombreux habitants",D71*4,IF(Accueil!$L$19="De nombreux habitants",D71*3,IF(Accueil!$L$22="De nombreux habitants",D71*2,D71))))</f>
        <v>3</v>
      </c>
      <c r="M71" s="46">
        <f>IF(Accueil!$L$13="Peu de chômage",E71*5,IF(Accueil!$L$16="Peu de chômage",E71*4,IF(Accueil!$L$19="Peu de chômage",E71*3,IF(Accueil!$L$22="Peu de chômage",E71*2,E71))))</f>
        <v>15</v>
      </c>
      <c r="N71" s="46">
        <f>IF(Accueil!$L$13="De nombreux restaurants",F71*5,IF(Accueil!$L$16="De nombreux restaurants",F71*4,IF(Accueil!$L$19="De nombreux restaurants",F71*3,IF(Accueil!$L$22="De nombreux restaurants",F71*2,F71))))</f>
        <v>5</v>
      </c>
      <c r="O71" s="46">
        <f>IF(Accueil!$L$13="Plusieurs écoles",G71*5,IF(Accueil!$L$16="Plusieurs écoles",G71*4,IF(Accueil!$L$19="Plusieurs écoles",G71*3,IF(Accueil!$L$22="Plusieurs écoles",G71*2,G71))))</f>
        <v>16</v>
      </c>
      <c r="P71" s="46">
        <f>IF(Accueil!$L$13="De nombreux hôpitaux",H71*5,IF(Accueil!$L$16="De nombreux hôpitaux",H71*4,IF(Accueil!$L$19="De nombreux hôpitaux",H71*3,IF(Accueil!$L$22="De nombreux hôpitaux",H71*2,H71))))</f>
        <v>2</v>
      </c>
      <c r="Q71" s="46">
        <f>IF(Accueil!$L$13="Peu de pluit",I71*5,IF(Accueil!$L$16="Peu de pluit",I71*4,IF(Accueil!$L$19="Peu de pluit",I71*3,IF(Accueil!$L$22="Peu de pluit",I71*2,I71))))</f>
        <v>2</v>
      </c>
      <c r="R71" s="46">
        <f>IF(Accueil!$L$13="Un prix au m² faible",J71*5,IF(Accueil!$L$16="Un prix au m² faible",J71*4,IF(Accueil!$L$19="Un prix au m² faible",J71*3,IF(Accueil!$L$22="Un prix au m² faible",J71*2,J71))))</f>
        <v>2</v>
      </c>
      <c r="S71" s="54">
        <f>IF(Accueil!$L$13="De nombreux hôtels",K71*5,IF(Accueil!$L$16="De nombreux hôtels",K71*4,IF(Accueil!$L$19="De nombreux hôtels",K71*3,IF(Accueil!$L$22="De nombreux hôtels",K71*2,K71))))</f>
        <v>4</v>
      </c>
      <c r="T71" s="60">
        <f t="shared" si="10"/>
        <v>24</v>
      </c>
      <c r="U71" s="61">
        <f t="shared" si="11"/>
        <v>49</v>
      </c>
    </row>
    <row r="72" spans="1:21" x14ac:dyDescent="0.2">
      <c r="A72" s="98" t="s">
        <v>81</v>
      </c>
      <c r="B72" s="100">
        <f t="shared" si="12"/>
        <v>33</v>
      </c>
      <c r="C72" s="102" t="s">
        <v>81</v>
      </c>
      <c r="D72" s="53">
        <f t="shared" si="2"/>
        <v>2</v>
      </c>
      <c r="E72" s="53">
        <f t="shared" si="3"/>
        <v>2</v>
      </c>
      <c r="F72" s="46">
        <f t="shared" si="4"/>
        <v>4</v>
      </c>
      <c r="G72" s="46">
        <f t="shared" si="5"/>
        <v>4</v>
      </c>
      <c r="H72" s="46">
        <f t="shared" si="6"/>
        <v>2</v>
      </c>
      <c r="I72" s="46">
        <f t="shared" si="7"/>
        <v>1</v>
      </c>
      <c r="J72" s="46">
        <f t="shared" si="8"/>
        <v>4</v>
      </c>
      <c r="K72" s="46">
        <f t="shared" si="9"/>
        <v>3</v>
      </c>
      <c r="L72" s="46">
        <f>IF(Accueil!$L$13="De nombreux habitants",D72*5,IF(Accueil!$L$16="De nombreux habitants",D72*4,IF(Accueil!$L$19="De nombreux habitants",D72*3,IF(Accueil!$L$22="De nombreux habitants",D72*2,D72))))</f>
        <v>2</v>
      </c>
      <c r="M72" s="46">
        <f>IF(Accueil!$L$13="Peu de chômage",E72*5,IF(Accueil!$L$16="Peu de chômage",E72*4,IF(Accueil!$L$19="Peu de chômage",E72*3,IF(Accueil!$L$22="Peu de chômage",E72*2,E72))))</f>
        <v>10</v>
      </c>
      <c r="N72" s="46">
        <f>IF(Accueil!$L$13="De nombreux restaurants",F72*5,IF(Accueil!$L$16="De nombreux restaurants",F72*4,IF(Accueil!$L$19="De nombreux restaurants",F72*3,IF(Accueil!$L$22="De nombreux restaurants",F72*2,F72))))</f>
        <v>4</v>
      </c>
      <c r="O72" s="46">
        <f>IF(Accueil!$L$13="Plusieurs écoles",G72*5,IF(Accueil!$L$16="Plusieurs écoles",G72*4,IF(Accueil!$L$19="Plusieurs écoles",G72*3,IF(Accueil!$L$22="Plusieurs écoles",G72*2,G72))))</f>
        <v>16</v>
      </c>
      <c r="P72" s="46">
        <f>IF(Accueil!$L$13="De nombreux hôpitaux",H72*5,IF(Accueil!$L$16="De nombreux hôpitaux",H72*4,IF(Accueil!$L$19="De nombreux hôpitaux",H72*3,IF(Accueil!$L$22="De nombreux hôpitaux",H72*2,H72))))</f>
        <v>2</v>
      </c>
      <c r="Q72" s="46">
        <f>IF(Accueil!$L$13="Peu de pluit",I72*5,IF(Accueil!$L$16="Peu de pluit",I72*4,IF(Accueil!$L$19="Peu de pluit",I72*3,IF(Accueil!$L$22="Peu de pluit",I72*2,I72))))</f>
        <v>2</v>
      </c>
      <c r="R72" s="46">
        <f>IF(Accueil!$L$13="Un prix au m² faible",J72*5,IF(Accueil!$L$16="Un prix au m² faible",J72*4,IF(Accueil!$L$19="Un prix au m² faible",J72*3,IF(Accueil!$L$22="Un prix au m² faible",J72*2,J72))))</f>
        <v>4</v>
      </c>
      <c r="S72" s="54">
        <f>IF(Accueil!$L$13="De nombreux hôtels",K72*5,IF(Accueil!$L$16="De nombreux hôtels",K72*4,IF(Accueil!$L$19="De nombreux hôtels",K72*3,IF(Accueil!$L$22="De nombreux hôtels",K72*2,K72))))</f>
        <v>3</v>
      </c>
      <c r="T72" s="60">
        <f t="shared" si="10"/>
        <v>22</v>
      </c>
      <c r="U72" s="61">
        <f t="shared" si="11"/>
        <v>43</v>
      </c>
    </row>
    <row r="73" spans="1:21" x14ac:dyDescent="0.2">
      <c r="A73" s="98" t="s">
        <v>82</v>
      </c>
      <c r="B73" s="100">
        <f t="shared" si="12"/>
        <v>21</v>
      </c>
      <c r="C73" s="102" t="s">
        <v>82</v>
      </c>
      <c r="D73" s="53">
        <f t="shared" si="2"/>
        <v>1</v>
      </c>
      <c r="E73" s="53">
        <f t="shared" si="3"/>
        <v>2</v>
      </c>
      <c r="F73" s="46">
        <f t="shared" si="4"/>
        <v>2</v>
      </c>
      <c r="G73" s="46">
        <f t="shared" si="5"/>
        <v>5</v>
      </c>
      <c r="H73" s="46">
        <f t="shared" si="6"/>
        <v>5</v>
      </c>
      <c r="I73" s="46">
        <f t="shared" si="7"/>
        <v>1</v>
      </c>
      <c r="J73" s="46">
        <f t="shared" si="8"/>
        <v>4</v>
      </c>
      <c r="K73" s="46">
        <f t="shared" si="9"/>
        <v>2</v>
      </c>
      <c r="L73" s="46">
        <f>IF(Accueil!$L$13="De nombreux habitants",D73*5,IF(Accueil!$L$16="De nombreux habitants",D73*4,IF(Accueil!$L$19="De nombreux habitants",D73*3,IF(Accueil!$L$22="De nombreux habitants",D73*2,D73))))</f>
        <v>1</v>
      </c>
      <c r="M73" s="46">
        <f>IF(Accueil!$L$13="Peu de chômage",E73*5,IF(Accueil!$L$16="Peu de chômage",E73*4,IF(Accueil!$L$19="Peu de chômage",E73*3,IF(Accueil!$L$22="Peu de chômage",E73*2,E73))))</f>
        <v>10</v>
      </c>
      <c r="N73" s="46">
        <f>IF(Accueil!$L$13="De nombreux restaurants",F73*5,IF(Accueil!$L$16="De nombreux restaurants",F73*4,IF(Accueil!$L$19="De nombreux restaurants",F73*3,IF(Accueil!$L$22="De nombreux restaurants",F73*2,F73))))</f>
        <v>2</v>
      </c>
      <c r="O73" s="46">
        <f>IF(Accueil!$L$13="Plusieurs écoles",G73*5,IF(Accueil!$L$16="Plusieurs écoles",G73*4,IF(Accueil!$L$19="Plusieurs écoles",G73*3,IF(Accueil!$L$22="Plusieurs écoles",G73*2,G73))))</f>
        <v>20</v>
      </c>
      <c r="P73" s="46">
        <f>IF(Accueil!$L$13="De nombreux hôpitaux",H73*5,IF(Accueil!$L$16="De nombreux hôpitaux",H73*4,IF(Accueil!$L$19="De nombreux hôpitaux",H73*3,IF(Accueil!$L$22="De nombreux hôpitaux",H73*2,H73))))</f>
        <v>5</v>
      </c>
      <c r="Q73" s="46">
        <f>IF(Accueil!$L$13="Peu de pluit",I73*5,IF(Accueil!$L$16="Peu de pluit",I73*4,IF(Accueil!$L$19="Peu de pluit",I73*3,IF(Accueil!$L$22="Peu de pluit",I73*2,I73))))</f>
        <v>2</v>
      </c>
      <c r="R73" s="46">
        <f>IF(Accueil!$L$13="Un prix au m² faible",J73*5,IF(Accueil!$L$16="Un prix au m² faible",J73*4,IF(Accueil!$L$19="Un prix au m² faible",J73*3,IF(Accueil!$L$22="Un prix au m² faible",J73*2,J73))))</f>
        <v>4</v>
      </c>
      <c r="S73" s="54">
        <f>IF(Accueil!$L$13="De nombreux hôtels",K73*5,IF(Accueil!$L$16="De nombreux hôtels",K73*4,IF(Accueil!$L$19="De nombreux hôtels",K73*3,IF(Accueil!$L$22="De nombreux hôtels",K73*2,K73))))</f>
        <v>2</v>
      </c>
      <c r="T73" s="60">
        <f t="shared" si="10"/>
        <v>22</v>
      </c>
      <c r="U73" s="61">
        <f t="shared" si="11"/>
        <v>46</v>
      </c>
    </row>
    <row r="74" spans="1:21" x14ac:dyDescent="0.2">
      <c r="A74" s="98" t="s">
        <v>16</v>
      </c>
      <c r="B74" s="100">
        <f t="shared" si="12"/>
        <v>27</v>
      </c>
      <c r="C74" s="102" t="s">
        <v>16</v>
      </c>
      <c r="D74" s="53">
        <f t="shared" si="2"/>
        <v>5</v>
      </c>
      <c r="E74" s="53">
        <f t="shared" si="3"/>
        <v>2</v>
      </c>
      <c r="F74" s="46">
        <f t="shared" si="4"/>
        <v>5</v>
      </c>
      <c r="G74" s="46">
        <f t="shared" si="5"/>
        <v>4</v>
      </c>
      <c r="H74" s="46">
        <f t="shared" si="6"/>
        <v>1</v>
      </c>
      <c r="I74" s="46">
        <f t="shared" si="7"/>
        <v>1</v>
      </c>
      <c r="J74" s="46">
        <f t="shared" si="8"/>
        <v>1</v>
      </c>
      <c r="K74" s="46">
        <f t="shared" si="9"/>
        <v>5</v>
      </c>
      <c r="L74" s="46">
        <f>IF(Accueil!$L$13="De nombreux habitants",D74*5,IF(Accueil!$L$16="De nombreux habitants",D74*4,IF(Accueil!$L$19="De nombreux habitants",D74*3,IF(Accueil!$L$22="De nombreux habitants",D74*2,D74))))</f>
        <v>5</v>
      </c>
      <c r="M74" s="46">
        <f>IF(Accueil!$L$13="Peu de chômage",E74*5,IF(Accueil!$L$16="Peu de chômage",E74*4,IF(Accueil!$L$19="Peu de chômage",E74*3,IF(Accueil!$L$22="Peu de chômage",E74*2,E74))))</f>
        <v>10</v>
      </c>
      <c r="N74" s="46">
        <f>IF(Accueil!$L$13="De nombreux restaurants",F74*5,IF(Accueil!$L$16="De nombreux restaurants",F74*4,IF(Accueil!$L$19="De nombreux restaurants",F74*3,IF(Accueil!$L$22="De nombreux restaurants",F74*2,F74))))</f>
        <v>5</v>
      </c>
      <c r="O74" s="46">
        <f>IF(Accueil!$L$13="Plusieurs écoles",G74*5,IF(Accueil!$L$16="Plusieurs écoles",G74*4,IF(Accueil!$L$19="Plusieurs écoles",G74*3,IF(Accueil!$L$22="Plusieurs écoles",G74*2,G74))))</f>
        <v>16</v>
      </c>
      <c r="P74" s="46">
        <f>IF(Accueil!$L$13="De nombreux hôpitaux",H74*5,IF(Accueil!$L$16="De nombreux hôpitaux",H74*4,IF(Accueil!$L$19="De nombreux hôpitaux",H74*3,IF(Accueil!$L$22="De nombreux hôpitaux",H74*2,H74))))</f>
        <v>1</v>
      </c>
      <c r="Q74" s="46">
        <f>IF(Accueil!$L$13="Peu de pluit",I74*5,IF(Accueil!$L$16="Peu de pluit",I74*4,IF(Accueil!$L$19="Peu de pluit",I74*3,IF(Accueil!$L$22="Peu de pluit",I74*2,I74))))</f>
        <v>2</v>
      </c>
      <c r="R74" s="46">
        <f>IF(Accueil!$L$13="Un prix au m² faible",J74*5,IF(Accueil!$L$16="Un prix au m² faible",J74*4,IF(Accueil!$L$19="Un prix au m² faible",J74*3,IF(Accueil!$L$22="Un prix au m² faible",J74*2,J74))))</f>
        <v>1</v>
      </c>
      <c r="S74" s="54">
        <f>IF(Accueil!$L$13="De nombreux hôtels",K74*5,IF(Accueil!$L$16="De nombreux hôtels",K74*4,IF(Accueil!$L$19="De nombreux hôtels",K74*3,IF(Accueil!$L$22="De nombreux hôtels",K74*2,K74))))</f>
        <v>5</v>
      </c>
      <c r="T74" s="60">
        <f t="shared" si="10"/>
        <v>24</v>
      </c>
      <c r="U74" s="61">
        <f t="shared" si="11"/>
        <v>45</v>
      </c>
    </row>
    <row r="75" spans="1:21" x14ac:dyDescent="0.2">
      <c r="A75" s="98" t="s">
        <v>83</v>
      </c>
      <c r="B75" s="100">
        <f t="shared" si="12"/>
        <v>30</v>
      </c>
      <c r="C75" s="102" t="s">
        <v>83</v>
      </c>
      <c r="D75" s="53">
        <f t="shared" si="2"/>
        <v>3</v>
      </c>
      <c r="E75" s="53">
        <f t="shared" si="3"/>
        <v>2</v>
      </c>
      <c r="F75" s="46">
        <f t="shared" si="4"/>
        <v>5</v>
      </c>
      <c r="G75" s="46">
        <f t="shared" si="5"/>
        <v>4</v>
      </c>
      <c r="H75" s="46">
        <f t="shared" si="6"/>
        <v>2</v>
      </c>
      <c r="I75" s="46">
        <f t="shared" si="7"/>
        <v>1</v>
      </c>
      <c r="J75" s="46">
        <f t="shared" si="8"/>
        <v>2</v>
      </c>
      <c r="K75" s="46">
        <f t="shared" si="9"/>
        <v>4</v>
      </c>
      <c r="L75" s="46">
        <f>IF(Accueil!$L$13="De nombreux habitants",D75*5,IF(Accueil!$L$16="De nombreux habitants",D75*4,IF(Accueil!$L$19="De nombreux habitants",D75*3,IF(Accueil!$L$22="De nombreux habitants",D75*2,D75))))</f>
        <v>3</v>
      </c>
      <c r="M75" s="46">
        <f>IF(Accueil!$L$13="Peu de chômage",E75*5,IF(Accueil!$L$16="Peu de chômage",E75*4,IF(Accueil!$L$19="Peu de chômage",E75*3,IF(Accueil!$L$22="Peu de chômage",E75*2,E75))))</f>
        <v>10</v>
      </c>
      <c r="N75" s="46">
        <f>IF(Accueil!$L$13="De nombreux restaurants",F75*5,IF(Accueil!$L$16="De nombreux restaurants",F75*4,IF(Accueil!$L$19="De nombreux restaurants",F75*3,IF(Accueil!$L$22="De nombreux restaurants",F75*2,F75))))</f>
        <v>5</v>
      </c>
      <c r="O75" s="46">
        <f>IF(Accueil!$L$13="Plusieurs écoles",G75*5,IF(Accueil!$L$16="Plusieurs écoles",G75*4,IF(Accueil!$L$19="Plusieurs écoles",G75*3,IF(Accueil!$L$22="Plusieurs écoles",G75*2,G75))))</f>
        <v>16</v>
      </c>
      <c r="P75" s="46">
        <f>IF(Accueil!$L$13="De nombreux hôpitaux",H75*5,IF(Accueil!$L$16="De nombreux hôpitaux",H75*4,IF(Accueil!$L$19="De nombreux hôpitaux",H75*3,IF(Accueil!$L$22="De nombreux hôpitaux",H75*2,H75))))</f>
        <v>2</v>
      </c>
      <c r="Q75" s="46">
        <f>IF(Accueil!$L$13="Peu de pluit",I75*5,IF(Accueil!$L$16="Peu de pluit",I75*4,IF(Accueil!$L$19="Peu de pluit",I75*3,IF(Accueil!$L$22="Peu de pluit",I75*2,I75))))</f>
        <v>2</v>
      </c>
      <c r="R75" s="46">
        <f>IF(Accueil!$L$13="Un prix au m² faible",J75*5,IF(Accueil!$L$16="Un prix au m² faible",J75*4,IF(Accueil!$L$19="Un prix au m² faible",J75*3,IF(Accueil!$L$22="Un prix au m² faible",J75*2,J75))))</f>
        <v>2</v>
      </c>
      <c r="S75" s="54">
        <f>IF(Accueil!$L$13="De nombreux hôtels",K75*5,IF(Accueil!$L$16="De nombreux hôtels",K75*4,IF(Accueil!$L$19="De nombreux hôtels",K75*3,IF(Accueil!$L$22="De nombreux hôtels",K75*2,K75))))</f>
        <v>4</v>
      </c>
      <c r="T75" s="60">
        <f t="shared" si="10"/>
        <v>23</v>
      </c>
      <c r="U75" s="61">
        <f t="shared" si="11"/>
        <v>44</v>
      </c>
    </row>
    <row r="76" spans="1:21" x14ac:dyDescent="0.2">
      <c r="A76" s="98" t="s">
        <v>84</v>
      </c>
      <c r="B76" s="100">
        <f t="shared" si="12"/>
        <v>27</v>
      </c>
      <c r="C76" s="102" t="s">
        <v>84</v>
      </c>
      <c r="D76" s="53">
        <f t="shared" si="2"/>
        <v>2</v>
      </c>
      <c r="E76" s="53">
        <f t="shared" si="3"/>
        <v>2</v>
      </c>
      <c r="F76" s="46">
        <f t="shared" si="4"/>
        <v>5</v>
      </c>
      <c r="G76" s="46">
        <f t="shared" si="5"/>
        <v>5</v>
      </c>
      <c r="H76" s="46">
        <f t="shared" si="6"/>
        <v>2</v>
      </c>
      <c r="I76" s="46">
        <f t="shared" si="7"/>
        <v>1</v>
      </c>
      <c r="J76" s="46">
        <f t="shared" si="8"/>
        <v>1</v>
      </c>
      <c r="K76" s="46">
        <f t="shared" si="9"/>
        <v>3</v>
      </c>
      <c r="L76" s="46">
        <f>IF(Accueil!$L$13="De nombreux habitants",D76*5,IF(Accueil!$L$16="De nombreux habitants",D76*4,IF(Accueil!$L$19="De nombreux habitants",D76*3,IF(Accueil!$L$22="De nombreux habitants",D76*2,D76))))</f>
        <v>2</v>
      </c>
      <c r="M76" s="46">
        <f>IF(Accueil!$L$13="Peu de chômage",E76*5,IF(Accueil!$L$16="Peu de chômage",E76*4,IF(Accueil!$L$19="Peu de chômage",E76*3,IF(Accueil!$L$22="Peu de chômage",E76*2,E76))))</f>
        <v>10</v>
      </c>
      <c r="N76" s="46">
        <f>IF(Accueil!$L$13="De nombreux restaurants",F76*5,IF(Accueil!$L$16="De nombreux restaurants",F76*4,IF(Accueil!$L$19="De nombreux restaurants",F76*3,IF(Accueil!$L$22="De nombreux restaurants",F76*2,F76))))</f>
        <v>5</v>
      </c>
      <c r="O76" s="46">
        <f>IF(Accueil!$L$13="Plusieurs écoles",G76*5,IF(Accueil!$L$16="Plusieurs écoles",G76*4,IF(Accueil!$L$19="Plusieurs écoles",G76*3,IF(Accueil!$L$22="Plusieurs écoles",G76*2,G76))))</f>
        <v>20</v>
      </c>
      <c r="P76" s="46">
        <f>IF(Accueil!$L$13="De nombreux hôpitaux",H76*5,IF(Accueil!$L$16="De nombreux hôpitaux",H76*4,IF(Accueil!$L$19="De nombreux hôpitaux",H76*3,IF(Accueil!$L$22="De nombreux hôpitaux",H76*2,H76))))</f>
        <v>2</v>
      </c>
      <c r="Q76" s="46">
        <f>IF(Accueil!$L$13="Peu de pluit",I76*5,IF(Accueil!$L$16="Peu de pluit",I76*4,IF(Accueil!$L$19="Peu de pluit",I76*3,IF(Accueil!$L$22="Peu de pluit",I76*2,I76))))</f>
        <v>2</v>
      </c>
      <c r="R76" s="46">
        <f>IF(Accueil!$L$13="Un prix au m² faible",J76*5,IF(Accueil!$L$16="Un prix au m² faible",J76*4,IF(Accueil!$L$19="Un prix au m² faible",J76*3,IF(Accueil!$L$22="Un prix au m² faible",J76*2,J76))))</f>
        <v>1</v>
      </c>
      <c r="S76" s="54">
        <f>IF(Accueil!$L$13="De nombreux hôtels",K76*5,IF(Accueil!$L$16="De nombreux hôtels",K76*4,IF(Accueil!$L$19="De nombreux hôtels",K76*3,IF(Accueil!$L$22="De nombreux hôtels",K76*2,K76))))</f>
        <v>3</v>
      </c>
      <c r="T76" s="60">
        <f t="shared" si="10"/>
        <v>21</v>
      </c>
      <c r="U76" s="61">
        <f t="shared" si="11"/>
        <v>45</v>
      </c>
    </row>
    <row r="77" spans="1:21" x14ac:dyDescent="0.2">
      <c r="A77" s="98" t="s">
        <v>85</v>
      </c>
      <c r="B77" s="100">
        <f t="shared" si="12"/>
        <v>21</v>
      </c>
      <c r="C77" s="102" t="s">
        <v>85</v>
      </c>
      <c r="D77" s="53">
        <f t="shared" si="2"/>
        <v>2</v>
      </c>
      <c r="E77" s="53">
        <f t="shared" si="3"/>
        <v>2</v>
      </c>
      <c r="F77" s="46">
        <f t="shared" si="4"/>
        <v>4</v>
      </c>
      <c r="G77" s="46">
        <f t="shared" si="5"/>
        <v>5</v>
      </c>
      <c r="H77" s="46">
        <f t="shared" si="6"/>
        <v>3</v>
      </c>
      <c r="I77" s="46">
        <f t="shared" si="7"/>
        <v>1</v>
      </c>
      <c r="J77" s="46">
        <f t="shared" si="8"/>
        <v>1</v>
      </c>
      <c r="K77" s="46">
        <f t="shared" si="9"/>
        <v>4</v>
      </c>
      <c r="L77" s="46">
        <f>IF(Accueil!$L$13="De nombreux habitants",D77*5,IF(Accueil!$L$16="De nombreux habitants",D77*4,IF(Accueil!$L$19="De nombreux habitants",D77*3,IF(Accueil!$L$22="De nombreux habitants",D77*2,D77))))</f>
        <v>2</v>
      </c>
      <c r="M77" s="46">
        <f>IF(Accueil!$L$13="Peu de chômage",E77*5,IF(Accueil!$L$16="Peu de chômage",E77*4,IF(Accueil!$L$19="Peu de chômage",E77*3,IF(Accueil!$L$22="Peu de chômage",E77*2,E77))))</f>
        <v>10</v>
      </c>
      <c r="N77" s="46">
        <f>IF(Accueil!$L$13="De nombreux restaurants",F77*5,IF(Accueil!$L$16="De nombreux restaurants",F77*4,IF(Accueil!$L$19="De nombreux restaurants",F77*3,IF(Accueil!$L$22="De nombreux restaurants",F77*2,F77))))</f>
        <v>4</v>
      </c>
      <c r="O77" s="46">
        <f>IF(Accueil!$L$13="Plusieurs écoles",G77*5,IF(Accueil!$L$16="Plusieurs écoles",G77*4,IF(Accueil!$L$19="Plusieurs écoles",G77*3,IF(Accueil!$L$22="Plusieurs écoles",G77*2,G77))))</f>
        <v>20</v>
      </c>
      <c r="P77" s="46">
        <f>IF(Accueil!$L$13="De nombreux hôpitaux",H77*5,IF(Accueil!$L$16="De nombreux hôpitaux",H77*4,IF(Accueil!$L$19="De nombreux hôpitaux",H77*3,IF(Accueil!$L$22="De nombreux hôpitaux",H77*2,H77))))</f>
        <v>3</v>
      </c>
      <c r="Q77" s="46">
        <f>IF(Accueil!$L$13="Peu de pluit",I77*5,IF(Accueil!$L$16="Peu de pluit",I77*4,IF(Accueil!$L$19="Peu de pluit",I77*3,IF(Accueil!$L$22="Peu de pluit",I77*2,I77))))</f>
        <v>2</v>
      </c>
      <c r="R77" s="46">
        <f>IF(Accueil!$L$13="Un prix au m² faible",J77*5,IF(Accueil!$L$16="Un prix au m² faible",J77*4,IF(Accueil!$L$19="Un prix au m² faible",J77*3,IF(Accueil!$L$22="Un prix au m² faible",J77*2,J77))))</f>
        <v>1</v>
      </c>
      <c r="S77" s="54">
        <f>IF(Accueil!$L$13="De nombreux hôtels",K77*5,IF(Accueil!$L$16="De nombreux hôtels",K77*4,IF(Accueil!$L$19="De nombreux hôtels",K77*3,IF(Accueil!$L$22="De nombreux hôtels",K77*2,K77))))</f>
        <v>4</v>
      </c>
      <c r="T77" s="60">
        <f t="shared" si="10"/>
        <v>22</v>
      </c>
      <c r="U77" s="61">
        <f t="shared" si="11"/>
        <v>46</v>
      </c>
    </row>
    <row r="78" spans="1:21" x14ac:dyDescent="0.2">
      <c r="A78" s="98" t="s">
        <v>86</v>
      </c>
      <c r="B78" s="100">
        <f t="shared" si="12"/>
        <v>36</v>
      </c>
      <c r="C78" s="102" t="s">
        <v>86</v>
      </c>
      <c r="D78" s="53">
        <f t="shared" si="2"/>
        <v>4</v>
      </c>
      <c r="E78" s="53">
        <f t="shared" si="3"/>
        <v>2</v>
      </c>
      <c r="F78" s="46">
        <f t="shared" si="4"/>
        <v>5</v>
      </c>
      <c r="G78" s="46">
        <f t="shared" si="5"/>
        <v>3</v>
      </c>
      <c r="H78" s="46">
        <f t="shared" si="6"/>
        <v>1</v>
      </c>
      <c r="I78" s="46">
        <f t="shared" si="7"/>
        <v>2</v>
      </c>
      <c r="J78" s="46">
        <f t="shared" si="8"/>
        <v>1</v>
      </c>
      <c r="K78" s="46">
        <f t="shared" si="9"/>
        <v>5</v>
      </c>
      <c r="L78" s="46">
        <f>IF(Accueil!$L$13="De nombreux habitants",D78*5,IF(Accueil!$L$16="De nombreux habitants",D78*4,IF(Accueil!$L$19="De nombreux habitants",D78*3,IF(Accueil!$L$22="De nombreux habitants",D78*2,D78))))</f>
        <v>4</v>
      </c>
      <c r="M78" s="46">
        <f>IF(Accueil!$L$13="Peu de chômage",E78*5,IF(Accueil!$L$16="Peu de chômage",E78*4,IF(Accueil!$L$19="Peu de chômage",E78*3,IF(Accueil!$L$22="Peu de chômage",E78*2,E78))))</f>
        <v>10</v>
      </c>
      <c r="N78" s="46">
        <f>IF(Accueil!$L$13="De nombreux restaurants",F78*5,IF(Accueil!$L$16="De nombreux restaurants",F78*4,IF(Accueil!$L$19="De nombreux restaurants",F78*3,IF(Accueil!$L$22="De nombreux restaurants",F78*2,F78))))</f>
        <v>5</v>
      </c>
      <c r="O78" s="46">
        <f>IF(Accueil!$L$13="Plusieurs écoles",G78*5,IF(Accueil!$L$16="Plusieurs écoles",G78*4,IF(Accueil!$L$19="Plusieurs écoles",G78*3,IF(Accueil!$L$22="Plusieurs écoles",G78*2,G78))))</f>
        <v>12</v>
      </c>
      <c r="P78" s="46">
        <f>IF(Accueil!$L$13="De nombreux hôpitaux",H78*5,IF(Accueil!$L$16="De nombreux hôpitaux",H78*4,IF(Accueil!$L$19="De nombreux hôpitaux",H78*3,IF(Accueil!$L$22="De nombreux hôpitaux",H78*2,H78))))</f>
        <v>1</v>
      </c>
      <c r="Q78" s="46">
        <f>IF(Accueil!$L$13="Peu de pluit",I78*5,IF(Accueil!$L$16="Peu de pluit",I78*4,IF(Accueil!$L$19="Peu de pluit",I78*3,IF(Accueil!$L$22="Peu de pluit",I78*2,I78))))</f>
        <v>4</v>
      </c>
      <c r="R78" s="46">
        <f>IF(Accueil!$L$13="Un prix au m² faible",J78*5,IF(Accueil!$L$16="Un prix au m² faible",J78*4,IF(Accueil!$L$19="Un prix au m² faible",J78*3,IF(Accueil!$L$22="Un prix au m² faible",J78*2,J78))))</f>
        <v>1</v>
      </c>
      <c r="S78" s="54">
        <f>IF(Accueil!$L$13="De nombreux hôtels",K78*5,IF(Accueil!$L$16="De nombreux hôtels",K78*4,IF(Accueil!$L$19="De nombreux hôtels",K78*3,IF(Accueil!$L$22="De nombreux hôtels",K78*2,K78))))</f>
        <v>5</v>
      </c>
      <c r="T78" s="60">
        <f t="shared" si="10"/>
        <v>23</v>
      </c>
      <c r="U78" s="61">
        <f t="shared" si="11"/>
        <v>42</v>
      </c>
    </row>
    <row r="79" spans="1:21" x14ac:dyDescent="0.2">
      <c r="A79" s="98" t="s">
        <v>87</v>
      </c>
      <c r="B79" s="100">
        <f t="shared" si="12"/>
        <v>7</v>
      </c>
      <c r="C79" s="102" t="s">
        <v>87</v>
      </c>
      <c r="D79" s="53">
        <f t="shared" si="2"/>
        <v>5</v>
      </c>
      <c r="E79" s="53">
        <f t="shared" si="3"/>
        <v>3</v>
      </c>
      <c r="F79" s="46">
        <f t="shared" si="4"/>
        <v>5</v>
      </c>
      <c r="G79" s="46">
        <f t="shared" si="5"/>
        <v>3</v>
      </c>
      <c r="H79" s="46">
        <f t="shared" si="6"/>
        <v>2</v>
      </c>
      <c r="I79" s="46">
        <f t="shared" si="7"/>
        <v>2</v>
      </c>
      <c r="J79" s="46">
        <f t="shared" si="8"/>
        <v>1</v>
      </c>
      <c r="K79" s="46">
        <f t="shared" si="9"/>
        <v>5</v>
      </c>
      <c r="L79" s="46">
        <f>IF(Accueil!$L$13="De nombreux habitants",D79*5,IF(Accueil!$L$16="De nombreux habitants",D79*4,IF(Accueil!$L$19="De nombreux habitants",D79*3,IF(Accueil!$L$22="De nombreux habitants",D79*2,D79))))</f>
        <v>5</v>
      </c>
      <c r="M79" s="46">
        <f>IF(Accueil!$L$13="Peu de chômage",E79*5,IF(Accueil!$L$16="Peu de chômage",E79*4,IF(Accueil!$L$19="Peu de chômage",E79*3,IF(Accueil!$L$22="Peu de chômage",E79*2,E79))))</f>
        <v>15</v>
      </c>
      <c r="N79" s="46">
        <f>IF(Accueil!$L$13="De nombreux restaurants",F79*5,IF(Accueil!$L$16="De nombreux restaurants",F79*4,IF(Accueil!$L$19="De nombreux restaurants",F79*3,IF(Accueil!$L$22="De nombreux restaurants",F79*2,F79))))</f>
        <v>5</v>
      </c>
      <c r="O79" s="46">
        <f>IF(Accueil!$L$13="Plusieurs écoles",G79*5,IF(Accueil!$L$16="Plusieurs écoles",G79*4,IF(Accueil!$L$19="Plusieurs écoles",G79*3,IF(Accueil!$L$22="Plusieurs écoles",G79*2,G79))))</f>
        <v>12</v>
      </c>
      <c r="P79" s="46">
        <f>IF(Accueil!$L$13="De nombreux hôpitaux",H79*5,IF(Accueil!$L$16="De nombreux hôpitaux",H79*4,IF(Accueil!$L$19="De nombreux hôpitaux",H79*3,IF(Accueil!$L$22="De nombreux hôpitaux",H79*2,H79))))</f>
        <v>2</v>
      </c>
      <c r="Q79" s="46">
        <f>IF(Accueil!$L$13="Peu de pluit",I79*5,IF(Accueil!$L$16="Peu de pluit",I79*4,IF(Accueil!$L$19="Peu de pluit",I79*3,IF(Accueil!$L$22="Peu de pluit",I79*2,I79))))</f>
        <v>4</v>
      </c>
      <c r="R79" s="46">
        <f>IF(Accueil!$L$13="Un prix au m² faible",J79*5,IF(Accueil!$L$16="Un prix au m² faible",J79*4,IF(Accueil!$L$19="Un prix au m² faible",J79*3,IF(Accueil!$L$22="Un prix au m² faible",J79*2,J79))))</f>
        <v>1</v>
      </c>
      <c r="S79" s="54">
        <f>IF(Accueil!$L$13="De nombreux hôtels",K79*5,IF(Accueil!$L$16="De nombreux hôtels",K79*4,IF(Accueil!$L$19="De nombreux hôtels",K79*3,IF(Accueil!$L$22="De nombreux hôtels",K79*2,K79))))</f>
        <v>5</v>
      </c>
      <c r="T79" s="60">
        <f t="shared" si="10"/>
        <v>26</v>
      </c>
      <c r="U79" s="61">
        <f t="shared" si="11"/>
        <v>49</v>
      </c>
    </row>
    <row r="80" spans="1:21" x14ac:dyDescent="0.2">
      <c r="A80" s="98" t="s">
        <v>88</v>
      </c>
      <c r="B80" s="100">
        <f t="shared" si="12"/>
        <v>21</v>
      </c>
      <c r="C80" s="102" t="s">
        <v>88</v>
      </c>
      <c r="D80" s="53">
        <f t="shared" si="2"/>
        <v>3</v>
      </c>
      <c r="E80" s="53">
        <f t="shared" si="3"/>
        <v>1</v>
      </c>
      <c r="F80" s="46">
        <f t="shared" si="4"/>
        <v>5</v>
      </c>
      <c r="G80" s="46">
        <f t="shared" si="5"/>
        <v>4</v>
      </c>
      <c r="H80" s="46">
        <f t="shared" si="6"/>
        <v>1</v>
      </c>
      <c r="I80" s="46">
        <f t="shared" si="7"/>
        <v>4</v>
      </c>
      <c r="J80" s="46">
        <f t="shared" si="8"/>
        <v>3</v>
      </c>
      <c r="K80" s="46">
        <f t="shared" si="9"/>
        <v>5</v>
      </c>
      <c r="L80" s="46">
        <f>IF(Accueil!$L$13="De nombreux habitants",D80*5,IF(Accueil!$L$16="De nombreux habitants",D80*4,IF(Accueil!$L$19="De nombreux habitants",D80*3,IF(Accueil!$L$22="De nombreux habitants",D80*2,D80))))</f>
        <v>3</v>
      </c>
      <c r="M80" s="46">
        <f>IF(Accueil!$L$13="Peu de chômage",E80*5,IF(Accueil!$L$16="Peu de chômage",E80*4,IF(Accueil!$L$19="Peu de chômage",E80*3,IF(Accueil!$L$22="Peu de chômage",E80*2,E80))))</f>
        <v>5</v>
      </c>
      <c r="N80" s="46">
        <f>IF(Accueil!$L$13="De nombreux restaurants",F80*5,IF(Accueil!$L$16="De nombreux restaurants",F80*4,IF(Accueil!$L$19="De nombreux restaurants",F80*3,IF(Accueil!$L$22="De nombreux restaurants",F80*2,F80))))</f>
        <v>5</v>
      </c>
      <c r="O80" s="46">
        <f>IF(Accueil!$L$13="Plusieurs écoles",G80*5,IF(Accueil!$L$16="Plusieurs écoles",G80*4,IF(Accueil!$L$19="Plusieurs écoles",G80*3,IF(Accueil!$L$22="Plusieurs écoles",G80*2,G80))))</f>
        <v>16</v>
      </c>
      <c r="P80" s="46">
        <f>IF(Accueil!$L$13="De nombreux hôpitaux",H80*5,IF(Accueil!$L$16="De nombreux hôpitaux",H80*4,IF(Accueil!$L$19="De nombreux hôpitaux",H80*3,IF(Accueil!$L$22="De nombreux hôpitaux",H80*2,H80))))</f>
        <v>1</v>
      </c>
      <c r="Q80" s="46">
        <f>IF(Accueil!$L$13="Peu de pluit",I80*5,IF(Accueil!$L$16="Peu de pluit",I80*4,IF(Accueil!$L$19="Peu de pluit",I80*3,IF(Accueil!$L$22="Peu de pluit",I80*2,I80))))</f>
        <v>8</v>
      </c>
      <c r="R80" s="46">
        <f>IF(Accueil!$L$13="Un prix au m² faible",J80*5,IF(Accueil!$L$16="Un prix au m² faible",J80*4,IF(Accueil!$L$19="Un prix au m² faible",J80*3,IF(Accueil!$L$22="Un prix au m² faible",J80*2,J80))))</f>
        <v>3</v>
      </c>
      <c r="S80" s="54">
        <f>IF(Accueil!$L$13="De nombreux hôtels",K80*5,IF(Accueil!$L$16="De nombreux hôtels",K80*4,IF(Accueil!$L$19="De nombreux hôtels",K80*3,IF(Accueil!$L$22="De nombreux hôtels",K80*2,K80))))</f>
        <v>5</v>
      </c>
      <c r="T80" s="60">
        <f t="shared" si="10"/>
        <v>26</v>
      </c>
      <c r="U80" s="61">
        <f t="shared" si="11"/>
        <v>46</v>
      </c>
    </row>
    <row r="81" spans="1:21" x14ac:dyDescent="0.2">
      <c r="A81" s="98" t="s">
        <v>89</v>
      </c>
      <c r="B81" s="100">
        <f t="shared" si="12"/>
        <v>16</v>
      </c>
      <c r="C81" s="102" t="s">
        <v>89</v>
      </c>
      <c r="D81" s="53">
        <f t="shared" si="2"/>
        <v>5</v>
      </c>
      <c r="E81" s="53">
        <f t="shared" si="3"/>
        <v>1</v>
      </c>
      <c r="F81" s="46">
        <f t="shared" si="4"/>
        <v>5</v>
      </c>
      <c r="G81" s="46">
        <f t="shared" si="5"/>
        <v>4</v>
      </c>
      <c r="H81" s="46">
        <f t="shared" si="6"/>
        <v>2</v>
      </c>
      <c r="I81" s="46">
        <f t="shared" si="7"/>
        <v>4</v>
      </c>
      <c r="J81" s="46">
        <f t="shared" si="8"/>
        <v>1</v>
      </c>
      <c r="K81" s="46">
        <f t="shared" si="9"/>
        <v>5</v>
      </c>
      <c r="L81" s="46">
        <f>IF(Accueil!$L$13="De nombreux habitants",D81*5,IF(Accueil!$L$16="De nombreux habitants",D81*4,IF(Accueil!$L$19="De nombreux habitants",D81*3,IF(Accueil!$L$22="De nombreux habitants",D81*2,D81))))</f>
        <v>5</v>
      </c>
      <c r="M81" s="46">
        <f>IF(Accueil!$L$13="Peu de chômage",E81*5,IF(Accueil!$L$16="Peu de chômage",E81*4,IF(Accueil!$L$19="Peu de chômage",E81*3,IF(Accueil!$L$22="Peu de chômage",E81*2,E81))))</f>
        <v>5</v>
      </c>
      <c r="N81" s="46">
        <f>IF(Accueil!$L$13="De nombreux restaurants",F81*5,IF(Accueil!$L$16="De nombreux restaurants",F81*4,IF(Accueil!$L$19="De nombreux restaurants",F81*3,IF(Accueil!$L$22="De nombreux restaurants",F81*2,F81))))</f>
        <v>5</v>
      </c>
      <c r="O81" s="46">
        <f>IF(Accueil!$L$13="Plusieurs écoles",G81*5,IF(Accueil!$L$16="Plusieurs écoles",G81*4,IF(Accueil!$L$19="Plusieurs écoles",G81*3,IF(Accueil!$L$22="Plusieurs écoles",G81*2,G81))))</f>
        <v>16</v>
      </c>
      <c r="P81" s="46">
        <f>IF(Accueil!$L$13="De nombreux hôpitaux",H81*5,IF(Accueil!$L$16="De nombreux hôpitaux",H81*4,IF(Accueil!$L$19="De nombreux hôpitaux",H81*3,IF(Accueil!$L$22="De nombreux hôpitaux",H81*2,H81))))</f>
        <v>2</v>
      </c>
      <c r="Q81" s="46">
        <f>IF(Accueil!$L$13="Peu de pluit",I81*5,IF(Accueil!$L$16="Peu de pluit",I81*4,IF(Accueil!$L$19="Peu de pluit",I81*3,IF(Accueil!$L$22="Peu de pluit",I81*2,I81))))</f>
        <v>8</v>
      </c>
      <c r="R81" s="46">
        <f>IF(Accueil!$L$13="Un prix au m² faible",J81*5,IF(Accueil!$L$16="Un prix au m² faible",J81*4,IF(Accueil!$L$19="Un prix au m² faible",J81*3,IF(Accueil!$L$22="Un prix au m² faible",J81*2,J81))))</f>
        <v>1</v>
      </c>
      <c r="S81" s="54">
        <f>IF(Accueil!$L$13="De nombreux hôtels",K81*5,IF(Accueil!$L$16="De nombreux hôtels",K81*4,IF(Accueil!$L$19="De nombreux hôtels",K81*3,IF(Accueil!$L$22="De nombreux hôtels",K81*2,K81))))</f>
        <v>5</v>
      </c>
      <c r="T81" s="60">
        <f t="shared" si="10"/>
        <v>27</v>
      </c>
      <c r="U81" s="61">
        <f t="shared" si="11"/>
        <v>47</v>
      </c>
    </row>
    <row r="82" spans="1:21" x14ac:dyDescent="0.2">
      <c r="A82" s="98" t="s">
        <v>90</v>
      </c>
      <c r="B82" s="100">
        <f t="shared" si="12"/>
        <v>1</v>
      </c>
      <c r="C82" s="102" t="s">
        <v>90</v>
      </c>
      <c r="D82" s="53">
        <f t="shared" si="2"/>
        <v>2</v>
      </c>
      <c r="E82" s="53">
        <f t="shared" si="3"/>
        <v>2</v>
      </c>
      <c r="F82" s="46">
        <f t="shared" si="4"/>
        <v>5</v>
      </c>
      <c r="G82" s="46">
        <f t="shared" si="5"/>
        <v>5</v>
      </c>
      <c r="H82" s="46">
        <f t="shared" si="6"/>
        <v>1</v>
      </c>
      <c r="I82" s="46">
        <f t="shared" si="7"/>
        <v>3</v>
      </c>
      <c r="J82" s="46">
        <f t="shared" si="8"/>
        <v>4</v>
      </c>
      <c r="K82" s="46">
        <f t="shared" si="9"/>
        <v>5</v>
      </c>
      <c r="L82" s="46">
        <f>IF(Accueil!$L$13="De nombreux habitants",D82*5,IF(Accueil!$L$16="De nombreux habitants",D82*4,IF(Accueil!$L$19="De nombreux habitants",D82*3,IF(Accueil!$L$22="De nombreux habitants",D82*2,D82))))</f>
        <v>2</v>
      </c>
      <c r="M82" s="46">
        <f>IF(Accueil!$L$13="Peu de chômage",E82*5,IF(Accueil!$L$16="Peu de chômage",E82*4,IF(Accueil!$L$19="Peu de chômage",E82*3,IF(Accueil!$L$22="Peu de chômage",E82*2,E82))))</f>
        <v>10</v>
      </c>
      <c r="N82" s="46">
        <f>IF(Accueil!$L$13="De nombreux restaurants",F82*5,IF(Accueil!$L$16="De nombreux restaurants",F82*4,IF(Accueil!$L$19="De nombreux restaurants",F82*3,IF(Accueil!$L$22="De nombreux restaurants",F82*2,F82))))</f>
        <v>5</v>
      </c>
      <c r="O82" s="46">
        <f>IF(Accueil!$L$13="Plusieurs écoles",G82*5,IF(Accueil!$L$16="Plusieurs écoles",G82*4,IF(Accueil!$L$19="Plusieurs écoles",G82*3,IF(Accueil!$L$22="Plusieurs écoles",G82*2,G82))))</f>
        <v>20</v>
      </c>
      <c r="P82" s="46">
        <f>IF(Accueil!$L$13="De nombreux hôpitaux",H82*5,IF(Accueil!$L$16="De nombreux hôpitaux",H82*4,IF(Accueil!$L$19="De nombreux hôpitaux",H82*3,IF(Accueil!$L$22="De nombreux hôpitaux",H82*2,H82))))</f>
        <v>1</v>
      </c>
      <c r="Q82" s="46">
        <f>IF(Accueil!$L$13="Peu de pluit",I82*5,IF(Accueil!$L$16="Peu de pluit",I82*4,IF(Accueil!$L$19="Peu de pluit",I82*3,IF(Accueil!$L$22="Peu de pluit",I82*2,I82))))</f>
        <v>6</v>
      </c>
      <c r="R82" s="46">
        <f>IF(Accueil!$L$13="Un prix au m² faible",J82*5,IF(Accueil!$L$16="Un prix au m² faible",J82*4,IF(Accueil!$L$19="Un prix au m² faible",J82*3,IF(Accueil!$L$22="Un prix au m² faible",J82*2,J82))))</f>
        <v>4</v>
      </c>
      <c r="S82" s="54">
        <f>IF(Accueil!$L$13="De nombreux hôtels",K82*5,IF(Accueil!$L$16="De nombreux hôtels",K82*4,IF(Accueil!$L$19="De nombreux hôtels",K82*3,IF(Accueil!$L$22="De nombreux hôtels",K82*2,K82))))</f>
        <v>5</v>
      </c>
      <c r="T82" s="60">
        <f t="shared" si="10"/>
        <v>27</v>
      </c>
      <c r="U82" s="61">
        <f t="shared" si="11"/>
        <v>53</v>
      </c>
    </row>
    <row r="83" spans="1:21" x14ac:dyDescent="0.2">
      <c r="A83" s="98" t="s">
        <v>91</v>
      </c>
      <c r="B83" s="100">
        <f t="shared" si="12"/>
        <v>16</v>
      </c>
      <c r="C83" s="102" t="s">
        <v>91</v>
      </c>
      <c r="D83" s="53">
        <f t="shared" si="2"/>
        <v>5</v>
      </c>
      <c r="E83" s="53">
        <f t="shared" si="3"/>
        <v>2</v>
      </c>
      <c r="F83" s="46">
        <f t="shared" si="4"/>
        <v>5</v>
      </c>
      <c r="G83" s="46">
        <f t="shared" si="5"/>
        <v>3</v>
      </c>
      <c r="H83" s="46">
        <f t="shared" si="6"/>
        <v>1</v>
      </c>
      <c r="I83" s="46">
        <f t="shared" si="7"/>
        <v>4</v>
      </c>
      <c r="J83" s="46">
        <f t="shared" si="8"/>
        <v>1</v>
      </c>
      <c r="K83" s="46">
        <f t="shared" si="9"/>
        <v>5</v>
      </c>
      <c r="L83" s="46">
        <f>IF(Accueil!$L$13="De nombreux habitants",D83*5,IF(Accueil!$L$16="De nombreux habitants",D83*4,IF(Accueil!$L$19="De nombreux habitants",D83*3,IF(Accueil!$L$22="De nombreux habitants",D83*2,D83))))</f>
        <v>5</v>
      </c>
      <c r="M83" s="46">
        <f>IF(Accueil!$L$13="Peu de chômage",E83*5,IF(Accueil!$L$16="Peu de chômage",E83*4,IF(Accueil!$L$19="Peu de chômage",E83*3,IF(Accueil!$L$22="Peu de chômage",E83*2,E83))))</f>
        <v>10</v>
      </c>
      <c r="N83" s="46">
        <f>IF(Accueil!$L$13="De nombreux restaurants",F83*5,IF(Accueil!$L$16="De nombreux restaurants",F83*4,IF(Accueil!$L$19="De nombreux restaurants",F83*3,IF(Accueil!$L$22="De nombreux restaurants",F83*2,F83))))</f>
        <v>5</v>
      </c>
      <c r="O83" s="46">
        <f>IF(Accueil!$L$13="Plusieurs écoles",G83*5,IF(Accueil!$L$16="Plusieurs écoles",G83*4,IF(Accueil!$L$19="Plusieurs écoles",G83*3,IF(Accueil!$L$22="Plusieurs écoles",G83*2,G83))))</f>
        <v>12</v>
      </c>
      <c r="P83" s="46">
        <f>IF(Accueil!$L$13="De nombreux hôpitaux",H83*5,IF(Accueil!$L$16="De nombreux hôpitaux",H83*4,IF(Accueil!$L$19="De nombreux hôpitaux",H83*3,IF(Accueil!$L$22="De nombreux hôpitaux",H83*2,H83))))</f>
        <v>1</v>
      </c>
      <c r="Q83" s="46">
        <f>IF(Accueil!$L$13="Peu de pluit",I83*5,IF(Accueil!$L$16="Peu de pluit",I83*4,IF(Accueil!$L$19="Peu de pluit",I83*3,IF(Accueil!$L$22="Peu de pluit",I83*2,I83))))</f>
        <v>8</v>
      </c>
      <c r="R83" s="46">
        <f>IF(Accueil!$L$13="Un prix au m² faible",J83*5,IF(Accueil!$L$16="Un prix au m² faible",J83*4,IF(Accueil!$L$19="Un prix au m² faible",J83*3,IF(Accueil!$L$22="Un prix au m² faible",J83*2,J83))))</f>
        <v>1</v>
      </c>
      <c r="S83" s="54">
        <f>IF(Accueil!$L$13="De nombreux hôtels",K83*5,IF(Accueil!$L$16="De nombreux hôtels",K83*4,IF(Accueil!$L$19="De nombreux hôtels",K83*3,IF(Accueil!$L$22="De nombreux hôtels",K83*2,K83))))</f>
        <v>5</v>
      </c>
      <c r="T83" s="60">
        <f t="shared" si="10"/>
        <v>26</v>
      </c>
      <c r="U83" s="61">
        <f t="shared" si="11"/>
        <v>47</v>
      </c>
    </row>
    <row r="84" spans="1:21" x14ac:dyDescent="0.2">
      <c r="A84" s="98" t="s">
        <v>92</v>
      </c>
      <c r="B84" s="100">
        <f t="shared" si="12"/>
        <v>21</v>
      </c>
      <c r="C84" s="102" t="s">
        <v>92</v>
      </c>
      <c r="D84" s="53">
        <f t="shared" si="2"/>
        <v>5</v>
      </c>
      <c r="E84" s="53">
        <f t="shared" si="3"/>
        <v>1</v>
      </c>
      <c r="F84" s="46">
        <f t="shared" si="4"/>
        <v>5</v>
      </c>
      <c r="G84" s="46">
        <f t="shared" si="5"/>
        <v>4</v>
      </c>
      <c r="H84" s="46">
        <f t="shared" si="6"/>
        <v>1</v>
      </c>
      <c r="I84" s="46">
        <f t="shared" si="7"/>
        <v>4</v>
      </c>
      <c r="J84" s="46">
        <f t="shared" si="8"/>
        <v>1</v>
      </c>
      <c r="K84" s="46">
        <f t="shared" si="9"/>
        <v>5</v>
      </c>
      <c r="L84" s="46">
        <f>IF(Accueil!$L$13="De nombreux habitants",D84*5,IF(Accueil!$L$16="De nombreux habitants",D84*4,IF(Accueil!$L$19="De nombreux habitants",D84*3,IF(Accueil!$L$22="De nombreux habitants",D84*2,D84))))</f>
        <v>5</v>
      </c>
      <c r="M84" s="46">
        <f>IF(Accueil!$L$13="Peu de chômage",E84*5,IF(Accueil!$L$16="Peu de chômage",E84*4,IF(Accueil!$L$19="Peu de chômage",E84*3,IF(Accueil!$L$22="Peu de chômage",E84*2,E84))))</f>
        <v>5</v>
      </c>
      <c r="N84" s="46">
        <f>IF(Accueil!$L$13="De nombreux restaurants",F84*5,IF(Accueil!$L$16="De nombreux restaurants",F84*4,IF(Accueil!$L$19="De nombreux restaurants",F84*3,IF(Accueil!$L$22="De nombreux restaurants",F84*2,F84))))</f>
        <v>5</v>
      </c>
      <c r="O84" s="46">
        <f>IF(Accueil!$L$13="Plusieurs écoles",G84*5,IF(Accueil!$L$16="Plusieurs écoles",G84*4,IF(Accueil!$L$19="Plusieurs écoles",G84*3,IF(Accueil!$L$22="Plusieurs écoles",G84*2,G84))))</f>
        <v>16</v>
      </c>
      <c r="P84" s="46">
        <f>IF(Accueil!$L$13="De nombreux hôpitaux",H84*5,IF(Accueil!$L$16="De nombreux hôpitaux",H84*4,IF(Accueil!$L$19="De nombreux hôpitaux",H84*3,IF(Accueil!$L$22="De nombreux hôpitaux",H84*2,H84))))</f>
        <v>1</v>
      </c>
      <c r="Q84" s="46">
        <f>IF(Accueil!$L$13="Peu de pluit",I84*5,IF(Accueil!$L$16="Peu de pluit",I84*4,IF(Accueil!$L$19="Peu de pluit",I84*3,IF(Accueil!$L$22="Peu de pluit",I84*2,I84))))</f>
        <v>8</v>
      </c>
      <c r="R84" s="46">
        <f>IF(Accueil!$L$13="Un prix au m² faible",J84*5,IF(Accueil!$L$16="Un prix au m² faible",J84*4,IF(Accueil!$L$19="Un prix au m² faible",J84*3,IF(Accueil!$L$22="Un prix au m² faible",J84*2,J84))))</f>
        <v>1</v>
      </c>
      <c r="S84" s="54">
        <f>IF(Accueil!$L$13="De nombreux hôtels",K84*5,IF(Accueil!$L$16="De nombreux hôtels",K84*4,IF(Accueil!$L$19="De nombreux hôtels",K84*3,IF(Accueil!$L$22="De nombreux hôtels",K84*2,K84))))</f>
        <v>5</v>
      </c>
      <c r="T84" s="60">
        <f t="shared" si="10"/>
        <v>26</v>
      </c>
      <c r="U84" s="61">
        <f t="shared" si="11"/>
        <v>46</v>
      </c>
    </row>
    <row r="85" spans="1:21" x14ac:dyDescent="0.2">
      <c r="A85" s="98" t="s">
        <v>93</v>
      </c>
      <c r="B85" s="100">
        <f t="shared" si="12"/>
        <v>33</v>
      </c>
      <c r="C85" s="102" t="s">
        <v>93</v>
      </c>
      <c r="D85" s="53">
        <f t="shared" si="2"/>
        <v>2</v>
      </c>
      <c r="E85" s="53">
        <f t="shared" si="3"/>
        <v>2</v>
      </c>
      <c r="F85" s="46">
        <f t="shared" si="4"/>
        <v>5</v>
      </c>
      <c r="G85" s="46">
        <f t="shared" si="5"/>
        <v>3</v>
      </c>
      <c r="H85" s="46">
        <f t="shared" si="6"/>
        <v>1</v>
      </c>
      <c r="I85" s="46">
        <f t="shared" si="7"/>
        <v>4</v>
      </c>
      <c r="J85" s="46">
        <f t="shared" si="8"/>
        <v>1</v>
      </c>
      <c r="K85" s="46">
        <f t="shared" si="9"/>
        <v>4</v>
      </c>
      <c r="L85" s="46">
        <f>IF(Accueil!$L$13="De nombreux habitants",D85*5,IF(Accueil!$L$16="De nombreux habitants",D85*4,IF(Accueil!$L$19="De nombreux habitants",D85*3,IF(Accueil!$L$22="De nombreux habitants",D85*2,D85))))</f>
        <v>2</v>
      </c>
      <c r="M85" s="46">
        <f>IF(Accueil!$L$13="Peu de chômage",E85*5,IF(Accueil!$L$16="Peu de chômage",E85*4,IF(Accueil!$L$19="Peu de chômage",E85*3,IF(Accueil!$L$22="Peu de chômage",E85*2,E85))))</f>
        <v>10</v>
      </c>
      <c r="N85" s="46">
        <f>IF(Accueil!$L$13="De nombreux restaurants",F85*5,IF(Accueil!$L$16="De nombreux restaurants",F85*4,IF(Accueil!$L$19="De nombreux restaurants",F85*3,IF(Accueil!$L$22="De nombreux restaurants",F85*2,F85))))</f>
        <v>5</v>
      </c>
      <c r="O85" s="46">
        <f>IF(Accueil!$L$13="Plusieurs écoles",G85*5,IF(Accueil!$L$16="Plusieurs écoles",G85*4,IF(Accueil!$L$19="Plusieurs écoles",G85*3,IF(Accueil!$L$22="Plusieurs écoles",G85*2,G85))))</f>
        <v>12</v>
      </c>
      <c r="P85" s="46">
        <f>IF(Accueil!$L$13="De nombreux hôpitaux",H85*5,IF(Accueil!$L$16="De nombreux hôpitaux",H85*4,IF(Accueil!$L$19="De nombreux hôpitaux",H85*3,IF(Accueil!$L$22="De nombreux hôpitaux",H85*2,H85))))</f>
        <v>1</v>
      </c>
      <c r="Q85" s="46">
        <f>IF(Accueil!$L$13="Peu de pluit",I85*5,IF(Accueil!$L$16="Peu de pluit",I85*4,IF(Accueil!$L$19="Peu de pluit",I85*3,IF(Accueil!$L$22="Peu de pluit",I85*2,I85))))</f>
        <v>8</v>
      </c>
      <c r="R85" s="46">
        <f>IF(Accueil!$L$13="Un prix au m² faible",J85*5,IF(Accueil!$L$16="Un prix au m² faible",J85*4,IF(Accueil!$L$19="Un prix au m² faible",J85*3,IF(Accueil!$L$22="Un prix au m² faible",J85*2,J85))))</f>
        <v>1</v>
      </c>
      <c r="S85" s="54">
        <f>IF(Accueil!$L$13="De nombreux hôtels",K85*5,IF(Accueil!$L$16="De nombreux hôtels",K85*4,IF(Accueil!$L$19="De nombreux hôtels",K85*3,IF(Accueil!$L$22="De nombreux hôtels",K85*2,K85))))</f>
        <v>4</v>
      </c>
      <c r="T85" s="60">
        <f t="shared" si="10"/>
        <v>22</v>
      </c>
      <c r="U85" s="61">
        <f t="shared" si="11"/>
        <v>43</v>
      </c>
    </row>
    <row r="86" spans="1:21" x14ac:dyDescent="0.2">
      <c r="A86" s="98" t="s">
        <v>94</v>
      </c>
      <c r="B86" s="100">
        <f t="shared" si="12"/>
        <v>30</v>
      </c>
      <c r="C86" s="102" t="s">
        <v>94</v>
      </c>
      <c r="D86" s="53">
        <f t="shared" si="2"/>
        <v>2</v>
      </c>
      <c r="E86" s="53">
        <f t="shared" si="3"/>
        <v>1</v>
      </c>
      <c r="F86" s="46">
        <f t="shared" si="4"/>
        <v>4</v>
      </c>
      <c r="G86" s="46">
        <f t="shared" si="5"/>
        <v>4</v>
      </c>
      <c r="H86" s="46">
        <f t="shared" si="6"/>
        <v>4</v>
      </c>
      <c r="I86" s="46">
        <f t="shared" si="7"/>
        <v>4</v>
      </c>
      <c r="J86" s="46">
        <f t="shared" si="8"/>
        <v>1</v>
      </c>
      <c r="K86" s="46">
        <f t="shared" si="9"/>
        <v>4</v>
      </c>
      <c r="L86" s="46">
        <f>IF(Accueil!$L$13="De nombreux habitants",D86*5,IF(Accueil!$L$16="De nombreux habitants",D86*4,IF(Accueil!$L$19="De nombreux habitants",D86*3,IF(Accueil!$L$22="De nombreux habitants",D86*2,D86))))</f>
        <v>2</v>
      </c>
      <c r="M86" s="46">
        <f>IF(Accueil!$L$13="Peu de chômage",E86*5,IF(Accueil!$L$16="Peu de chômage",E86*4,IF(Accueil!$L$19="Peu de chômage",E86*3,IF(Accueil!$L$22="Peu de chômage",E86*2,E86))))</f>
        <v>5</v>
      </c>
      <c r="N86" s="46">
        <f>IF(Accueil!$L$13="De nombreux restaurants",F86*5,IF(Accueil!$L$16="De nombreux restaurants",F86*4,IF(Accueil!$L$19="De nombreux restaurants",F86*3,IF(Accueil!$L$22="De nombreux restaurants",F86*2,F86))))</f>
        <v>4</v>
      </c>
      <c r="O86" s="46">
        <f>IF(Accueil!$L$13="Plusieurs écoles",G86*5,IF(Accueil!$L$16="Plusieurs écoles",G86*4,IF(Accueil!$L$19="Plusieurs écoles",G86*3,IF(Accueil!$L$22="Plusieurs écoles",G86*2,G86))))</f>
        <v>16</v>
      </c>
      <c r="P86" s="46">
        <f>IF(Accueil!$L$13="De nombreux hôpitaux",H86*5,IF(Accueil!$L$16="De nombreux hôpitaux",H86*4,IF(Accueil!$L$19="De nombreux hôpitaux",H86*3,IF(Accueil!$L$22="De nombreux hôpitaux",H86*2,H86))))</f>
        <v>4</v>
      </c>
      <c r="Q86" s="46">
        <f>IF(Accueil!$L$13="Peu de pluit",I86*5,IF(Accueil!$L$16="Peu de pluit",I86*4,IF(Accueil!$L$19="Peu de pluit",I86*3,IF(Accueil!$L$22="Peu de pluit",I86*2,I86))))</f>
        <v>8</v>
      </c>
      <c r="R86" s="46">
        <f>IF(Accueil!$L$13="Un prix au m² faible",J86*5,IF(Accueil!$L$16="Un prix au m² faible",J86*4,IF(Accueil!$L$19="Un prix au m² faible",J86*3,IF(Accueil!$L$22="Un prix au m² faible",J86*2,J86))))</f>
        <v>1</v>
      </c>
      <c r="S86" s="54">
        <f>IF(Accueil!$L$13="De nombreux hôtels",K86*5,IF(Accueil!$L$16="De nombreux hôtels",K86*4,IF(Accueil!$L$19="De nombreux hôtels",K86*3,IF(Accueil!$L$22="De nombreux hôtels",K86*2,K86))))</f>
        <v>4</v>
      </c>
      <c r="T86" s="60">
        <f t="shared" si="10"/>
        <v>24</v>
      </c>
      <c r="U86" s="61">
        <f t="shared" si="11"/>
        <v>44</v>
      </c>
    </row>
    <row r="87" spans="1:21" x14ac:dyDescent="0.2">
      <c r="A87" s="98" t="s">
        <v>95</v>
      </c>
      <c r="B87" s="100">
        <f t="shared" si="12"/>
        <v>2</v>
      </c>
      <c r="C87" s="102" t="s">
        <v>95</v>
      </c>
      <c r="D87" s="53">
        <f t="shared" si="2"/>
        <v>1</v>
      </c>
      <c r="E87" s="53">
        <f t="shared" si="3"/>
        <v>3</v>
      </c>
      <c r="F87" s="46">
        <f t="shared" si="4"/>
        <v>2</v>
      </c>
      <c r="G87" s="46">
        <f t="shared" si="5"/>
        <v>4</v>
      </c>
      <c r="H87" s="46">
        <f t="shared" si="6"/>
        <v>5</v>
      </c>
      <c r="I87" s="46">
        <f t="shared" si="7"/>
        <v>4</v>
      </c>
      <c r="J87" s="46">
        <f t="shared" si="8"/>
        <v>3</v>
      </c>
      <c r="K87" s="46">
        <f t="shared" si="9"/>
        <v>2</v>
      </c>
      <c r="L87" s="46">
        <f>IF(Accueil!$L$13="De nombreux habitants",D87*5,IF(Accueil!$L$16="De nombreux habitants",D87*4,IF(Accueil!$L$19="De nombreux habitants",D87*3,IF(Accueil!$L$22="De nombreux habitants",D87*2,D87))))</f>
        <v>1</v>
      </c>
      <c r="M87" s="46">
        <f>IF(Accueil!$L$13="Peu de chômage",E87*5,IF(Accueil!$L$16="Peu de chômage",E87*4,IF(Accueil!$L$19="Peu de chômage",E87*3,IF(Accueil!$L$22="Peu de chômage",E87*2,E87))))</f>
        <v>15</v>
      </c>
      <c r="N87" s="46">
        <f>IF(Accueil!$L$13="De nombreux restaurants",F87*5,IF(Accueil!$L$16="De nombreux restaurants",F87*4,IF(Accueil!$L$19="De nombreux restaurants",F87*3,IF(Accueil!$L$22="De nombreux restaurants",F87*2,F87))))</f>
        <v>2</v>
      </c>
      <c r="O87" s="46">
        <f>IF(Accueil!$L$13="Plusieurs écoles",G87*5,IF(Accueil!$L$16="Plusieurs écoles",G87*4,IF(Accueil!$L$19="Plusieurs écoles",G87*3,IF(Accueil!$L$22="Plusieurs écoles",G87*2,G87))))</f>
        <v>16</v>
      </c>
      <c r="P87" s="46">
        <f>IF(Accueil!$L$13="De nombreux hôpitaux",H87*5,IF(Accueil!$L$16="De nombreux hôpitaux",H87*4,IF(Accueil!$L$19="De nombreux hôpitaux",H87*3,IF(Accueil!$L$22="De nombreux hôpitaux",H87*2,H87))))</f>
        <v>5</v>
      </c>
      <c r="Q87" s="46">
        <f>IF(Accueil!$L$13="Peu de pluit",I87*5,IF(Accueil!$L$16="Peu de pluit",I87*4,IF(Accueil!$L$19="Peu de pluit",I87*3,IF(Accueil!$L$22="Peu de pluit",I87*2,I87))))</f>
        <v>8</v>
      </c>
      <c r="R87" s="46">
        <f>IF(Accueil!$L$13="Un prix au m² faible",J87*5,IF(Accueil!$L$16="Un prix au m² faible",J87*4,IF(Accueil!$L$19="Un prix au m² faible",J87*3,IF(Accueil!$L$22="Un prix au m² faible",J87*2,J87))))</f>
        <v>3</v>
      </c>
      <c r="S87" s="54">
        <f>IF(Accueil!$L$13="De nombreux hôtels",K87*5,IF(Accueil!$L$16="De nombreux hôtels",K87*4,IF(Accueil!$L$19="De nombreux hôtels",K87*3,IF(Accueil!$L$22="De nombreux hôtels",K87*2,K87))))</f>
        <v>2</v>
      </c>
      <c r="T87" s="60">
        <f t="shared" si="10"/>
        <v>24</v>
      </c>
      <c r="U87" s="61">
        <f t="shared" si="11"/>
        <v>52</v>
      </c>
    </row>
    <row r="88" spans="1:21" ht="16" thickBot="1" x14ac:dyDescent="0.25">
      <c r="A88" s="98" t="s">
        <v>96</v>
      </c>
      <c r="B88" s="100">
        <f t="shared" si="12"/>
        <v>12</v>
      </c>
      <c r="C88" s="103" t="s">
        <v>96</v>
      </c>
      <c r="D88" s="55">
        <f t="shared" si="2"/>
        <v>2</v>
      </c>
      <c r="E88" s="55">
        <f t="shared" si="3"/>
        <v>2</v>
      </c>
      <c r="F88" s="56">
        <f t="shared" si="4"/>
        <v>5</v>
      </c>
      <c r="G88" s="56">
        <f t="shared" si="5"/>
        <v>4</v>
      </c>
      <c r="H88" s="56">
        <f t="shared" si="6"/>
        <v>2</v>
      </c>
      <c r="I88" s="56">
        <f t="shared" si="7"/>
        <v>4</v>
      </c>
      <c r="J88" s="56">
        <f t="shared" si="8"/>
        <v>1</v>
      </c>
      <c r="K88" s="56">
        <f t="shared" si="9"/>
        <v>4</v>
      </c>
      <c r="L88" s="56">
        <f>IF(Accueil!$L$13="De nombreux habitants",D88*5,IF(Accueil!$L$16="De nombreux habitants",D88*4,IF(Accueil!$L$19="De nombreux habitants",D88*3,IF(Accueil!$L$22="De nombreux habitants",D88*2,D88))))</f>
        <v>2</v>
      </c>
      <c r="M88" s="56">
        <f>IF(Accueil!$L$13="Peu de chômage",E88*5,IF(Accueil!$L$16="Peu de chômage",E88*4,IF(Accueil!$L$19="Peu de chômage",E88*3,IF(Accueil!$L$22="Peu de chômage",E88*2,E88))))</f>
        <v>10</v>
      </c>
      <c r="N88" s="56">
        <f>IF(Accueil!$L$13="De nombreux restaurants",F88*5,IF(Accueil!$L$16="De nombreux restaurants",F88*4,IF(Accueil!$L$19="De nombreux restaurants",F88*3,IF(Accueil!$L$22="De nombreux restaurants",F88*2,F88))))</f>
        <v>5</v>
      </c>
      <c r="O88" s="56">
        <f>IF(Accueil!$L$13="Plusieurs écoles",G88*5,IF(Accueil!$L$16="Plusieurs écoles",G88*4,IF(Accueil!$L$19="Plusieurs écoles",G88*3,IF(Accueil!$L$22="Plusieurs écoles",G88*2,G88))))</f>
        <v>16</v>
      </c>
      <c r="P88" s="56">
        <f>IF(Accueil!$L$13="De nombreux hôpitaux",H88*5,IF(Accueil!$L$16="De nombreux hôpitaux",H88*4,IF(Accueil!$L$19="De nombreux hôpitaux",H88*3,IF(Accueil!$L$22="De nombreux hôpitaux",H88*2,H88))))</f>
        <v>2</v>
      </c>
      <c r="Q88" s="56">
        <f>IF(Accueil!$L$13="Peu de pluit",I88*5,IF(Accueil!$L$16="Peu de pluit",I88*4,IF(Accueil!$L$19="Peu de pluit",I88*3,IF(Accueil!$L$22="Peu de pluit",I88*2,I88))))</f>
        <v>8</v>
      </c>
      <c r="R88" s="56">
        <f>IF(Accueil!$L$13="Un prix au m² faible",J88*5,IF(Accueil!$L$16="Un prix au m² faible",J88*4,IF(Accueil!$L$19="Un prix au m² faible",J88*3,IF(Accueil!$L$22="Un prix au m² faible",J88*2,J88))))</f>
        <v>1</v>
      </c>
      <c r="S88" s="57">
        <f>IF(Accueil!$L$13="De nombreux hôtels",K88*5,IF(Accueil!$L$16="De nombreux hôtels",K88*4,IF(Accueil!$L$19="De nombreux hôtels",K88*3,IF(Accueil!$L$22="De nombreux hôtels",K88*2,K88))))</f>
        <v>4</v>
      </c>
      <c r="T88" s="62">
        <f t="shared" si="10"/>
        <v>24</v>
      </c>
      <c r="U88" s="63">
        <f t="shared" si="11"/>
        <v>48</v>
      </c>
    </row>
    <row r="89" spans="1:21" x14ac:dyDescent="0.2">
      <c r="B89" s="7"/>
      <c r="C89" s="16"/>
      <c r="D89" s="16"/>
      <c r="E89" s="16"/>
      <c r="F89" s="16"/>
      <c r="G89" s="16"/>
      <c r="H89" s="16"/>
      <c r="I89" s="16"/>
      <c r="J89" s="16"/>
      <c r="K89" s="16"/>
      <c r="L89" s="16"/>
      <c r="M89" s="16"/>
      <c r="N89" s="16"/>
      <c r="O89" s="16"/>
      <c r="P89" s="16"/>
      <c r="Q89" s="16"/>
      <c r="R89" s="16"/>
      <c r="S89" s="16"/>
      <c r="T89" s="16"/>
    </row>
    <row r="90" spans="1:21" x14ac:dyDescent="0.2">
      <c r="B90" s="8" t="s">
        <v>39</v>
      </c>
    </row>
    <row r="91" spans="1:21" x14ac:dyDescent="0.2">
      <c r="B91" s="8" t="s">
        <v>40</v>
      </c>
    </row>
    <row r="93" spans="1:21" x14ac:dyDescent="0.2">
      <c r="B93" s="132" t="s">
        <v>26</v>
      </c>
      <c r="C93" s="132"/>
      <c r="F93" s="132" t="s">
        <v>25</v>
      </c>
      <c r="G93" s="132"/>
      <c r="J93" s="9"/>
      <c r="K93" s="9"/>
    </row>
    <row r="94" spans="1:21" ht="16" thickBot="1" x14ac:dyDescent="0.25"/>
    <row r="95" spans="1:21" x14ac:dyDescent="0.2">
      <c r="B95" s="5" t="s">
        <v>19</v>
      </c>
      <c r="C95" s="6" t="s">
        <v>18</v>
      </c>
      <c r="F95" s="5" t="s">
        <v>19</v>
      </c>
      <c r="G95" s="6" t="s">
        <v>18</v>
      </c>
    </row>
    <row r="96" spans="1:21" x14ac:dyDescent="0.2">
      <c r="B96" s="2" t="s">
        <v>20</v>
      </c>
      <c r="C96" s="3">
        <v>1</v>
      </c>
      <c r="F96" s="2" t="s">
        <v>57</v>
      </c>
      <c r="G96" s="3">
        <v>1</v>
      </c>
    </row>
    <row r="97" spans="2:7" x14ac:dyDescent="0.2">
      <c r="B97" s="2" t="s">
        <v>21</v>
      </c>
      <c r="C97" s="3">
        <v>2</v>
      </c>
      <c r="F97" s="2" t="s">
        <v>20</v>
      </c>
      <c r="G97" s="3">
        <v>2</v>
      </c>
    </row>
    <row r="98" spans="2:7" x14ac:dyDescent="0.2">
      <c r="B98" s="2" t="s">
        <v>22</v>
      </c>
      <c r="C98" s="3">
        <v>3</v>
      </c>
      <c r="F98" s="2" t="s">
        <v>58</v>
      </c>
      <c r="G98" s="3">
        <v>3</v>
      </c>
    </row>
    <row r="99" spans="2:7" x14ac:dyDescent="0.2">
      <c r="B99" s="2" t="s">
        <v>23</v>
      </c>
      <c r="C99" s="3">
        <v>4</v>
      </c>
      <c r="F99" s="12" t="s">
        <v>59</v>
      </c>
      <c r="G99" s="13">
        <v>4</v>
      </c>
    </row>
    <row r="100" spans="2:7" ht="16" thickBot="1" x14ac:dyDescent="0.25">
      <c r="B100" s="15" t="s">
        <v>56</v>
      </c>
      <c r="C100" s="14">
        <v>5</v>
      </c>
      <c r="F100" s="4" t="s">
        <v>24</v>
      </c>
      <c r="G100" s="14">
        <v>5</v>
      </c>
    </row>
  </sheetData>
  <mergeCells count="4">
    <mergeCell ref="F93:G93"/>
    <mergeCell ref="B93:C93"/>
    <mergeCell ref="A1:K1"/>
    <mergeCell ref="A47:U47"/>
  </mergeCells>
  <pageMargins left="0.7" right="0.7" top="0.75" bottom="0.75" header="0.3" footer="0.3"/>
  <pageSetup paperSize="9" orientation="portrait" verticalDpi="30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6"/>
  <dimension ref="A2:T80"/>
  <sheetViews>
    <sheetView showGridLines="0" showRowColHeaders="0" tabSelected="1" workbookViewId="0">
      <selection activeCell="C12" sqref="C12"/>
    </sheetView>
  </sheetViews>
  <sheetFormatPr baseColWidth="10" defaultColWidth="11.5" defaultRowHeight="15" x14ac:dyDescent="0.2"/>
  <cols>
    <col min="1" max="8" width="11.5" style="1"/>
    <col min="9" max="10" width="11.5" style="1" customWidth="1"/>
    <col min="11" max="11" width="5" style="1" customWidth="1"/>
    <col min="12" max="12" width="41.5" style="1" bestFit="1" customWidth="1"/>
    <col min="13" max="13" width="10.83203125" style="1" customWidth="1"/>
    <col min="14" max="14" width="11.83203125" style="1" customWidth="1"/>
    <col min="15" max="15" width="21.83203125" style="1" customWidth="1"/>
    <col min="16" max="16" width="15.83203125" style="1" customWidth="1"/>
    <col min="17" max="17" width="21.83203125" style="1" customWidth="1"/>
    <col min="18" max="18" width="15.83203125" style="1" customWidth="1"/>
    <col min="19" max="19" width="21.83203125" style="1" customWidth="1"/>
    <col min="20" max="20" width="15.83203125" style="1" customWidth="1"/>
    <col min="21" max="23" width="11.5" style="1"/>
    <col min="24" max="24" width="0" style="1" hidden="1" customWidth="1"/>
    <col min="25" max="16384" width="11.5" style="1"/>
  </cols>
  <sheetData>
    <row r="2" spans="1:19" x14ac:dyDescent="0.2">
      <c r="A2" s="10"/>
    </row>
    <row r="3" spans="1:19" x14ac:dyDescent="0.2">
      <c r="A3" s="10"/>
    </row>
    <row r="4" spans="1:19" ht="18.75" customHeight="1" x14ac:dyDescent="0.2">
      <c r="F4" s="134" t="s">
        <v>200</v>
      </c>
      <c r="G4" s="134"/>
      <c r="H4" s="134"/>
      <c r="I4" s="134"/>
      <c r="J4" s="134"/>
      <c r="K4" s="134"/>
      <c r="L4" s="134"/>
    </row>
    <row r="5" spans="1:19" x14ac:dyDescent="0.2">
      <c r="F5" s="134"/>
      <c r="G5" s="134"/>
      <c r="H5" s="134"/>
      <c r="I5" s="134"/>
      <c r="J5" s="134"/>
      <c r="K5" s="134"/>
      <c r="L5" s="134"/>
    </row>
    <row r="6" spans="1:19" ht="33" customHeight="1" x14ac:dyDescent="0.2">
      <c r="F6" s="134"/>
      <c r="G6" s="134"/>
      <c r="H6" s="134"/>
      <c r="I6" s="134"/>
      <c r="J6" s="134"/>
      <c r="K6" s="134"/>
      <c r="L6" s="134"/>
      <c r="S6" s="11"/>
    </row>
    <row r="8" spans="1:19" ht="14.5" customHeight="1" x14ac:dyDescent="0.2">
      <c r="S8" s="10"/>
    </row>
    <row r="9" spans="1:19" ht="15" customHeight="1" x14ac:dyDescent="0.2"/>
    <row r="10" spans="1:19" x14ac:dyDescent="0.2">
      <c r="L10" s="11"/>
      <c r="M10" s="11"/>
      <c r="N10" s="11"/>
      <c r="O10" s="11"/>
      <c r="P10" s="11"/>
      <c r="Q10" s="11"/>
    </row>
    <row r="11" spans="1:19" x14ac:dyDescent="0.2">
      <c r="S11" s="10"/>
    </row>
    <row r="12" spans="1:19" x14ac:dyDescent="0.2">
      <c r="L12" s="10"/>
      <c r="M12" s="10"/>
      <c r="N12" s="10"/>
      <c r="O12" s="10"/>
      <c r="P12" s="10"/>
      <c r="Q12" s="10"/>
    </row>
    <row r="15" spans="1:19" x14ac:dyDescent="0.2">
      <c r="L15" s="10"/>
      <c r="M15" s="10"/>
      <c r="N15" s="10"/>
      <c r="O15" s="10"/>
      <c r="P15" s="10"/>
      <c r="Q15" s="10"/>
    </row>
    <row r="17" spans="2:18" ht="19" x14ac:dyDescent="0.2">
      <c r="B17" s="89" t="s">
        <v>201</v>
      </c>
    </row>
    <row r="18" spans="2:18" x14ac:dyDescent="0.2">
      <c r="B18" s="1" t="str">
        <f>Accueil!E54</f>
        <v>Carcassone</v>
      </c>
      <c r="L18" s="10"/>
      <c r="M18" s="10"/>
      <c r="N18" s="10"/>
      <c r="O18" s="10"/>
      <c r="P18" s="10"/>
      <c r="Q18" s="10"/>
    </row>
    <row r="19" spans="2:18" ht="19" x14ac:dyDescent="0.25">
      <c r="B19" s="90" t="s">
        <v>202</v>
      </c>
    </row>
    <row r="20" spans="2:18" x14ac:dyDescent="0.2">
      <c r="B20" s="1" t="str">
        <f>Accueil!E56</f>
        <v>Nancy</v>
      </c>
    </row>
    <row r="21" spans="2:18" ht="19" x14ac:dyDescent="0.2">
      <c r="B21" s="92" t="s">
        <v>203</v>
      </c>
      <c r="L21" s="10"/>
      <c r="M21" s="10"/>
      <c r="N21" s="10"/>
      <c r="O21" s="10"/>
      <c r="P21" s="10"/>
      <c r="Q21" s="10"/>
    </row>
    <row r="22" spans="2:18" x14ac:dyDescent="0.2">
      <c r="B22" s="1" t="e">
        <f>Accueil!E58</f>
        <v>#N/A</v>
      </c>
    </row>
    <row r="24" spans="2:18" x14ac:dyDescent="0.2">
      <c r="L24" s="10"/>
      <c r="M24" s="10"/>
      <c r="N24" s="10"/>
      <c r="O24" s="10"/>
      <c r="P24" s="10"/>
      <c r="Q24" s="10"/>
    </row>
    <row r="25" spans="2:18" x14ac:dyDescent="0.2">
      <c r="M25" s="10"/>
      <c r="N25" s="10"/>
      <c r="O25" s="10"/>
      <c r="P25" s="10"/>
      <c r="Q25" s="10"/>
      <c r="R25" s="10"/>
    </row>
    <row r="27" spans="2:18" ht="14" customHeight="1" x14ac:dyDescent="0.2"/>
    <row r="28" spans="2:18" ht="15" customHeight="1" x14ac:dyDescent="0.2">
      <c r="M28" s="10"/>
      <c r="N28" s="10"/>
      <c r="O28" s="10"/>
      <c r="P28" s="10"/>
      <c r="Q28" s="10"/>
      <c r="R28" s="10"/>
    </row>
    <row r="29" spans="2:18" ht="14" customHeight="1" x14ac:dyDescent="0.2"/>
    <row r="30" spans="2:18" ht="14" customHeight="1" x14ac:dyDescent="0.2"/>
    <row r="31" spans="2:18" ht="14" customHeight="1" x14ac:dyDescent="0.2">
      <c r="M31" s="10"/>
      <c r="N31" s="10"/>
      <c r="O31" s="10"/>
      <c r="P31" s="10"/>
      <c r="Q31" s="10"/>
      <c r="R31" s="10"/>
    </row>
    <row r="32" spans="2:18" ht="15" customHeight="1" x14ac:dyDescent="0.2"/>
    <row r="34" spans="2:20" x14ac:dyDescent="0.2">
      <c r="M34" s="10"/>
      <c r="N34" s="10"/>
      <c r="O34" s="10"/>
      <c r="P34" s="10"/>
      <c r="Q34" s="10"/>
      <c r="R34" s="10"/>
    </row>
    <row r="36" spans="2:20" x14ac:dyDescent="0.2">
      <c r="B36" s="10"/>
      <c r="S36" s="19"/>
      <c r="T36" s="65"/>
    </row>
    <row r="37" spans="2:20" x14ac:dyDescent="0.2">
      <c r="B37" s="10"/>
      <c r="S37" s="19"/>
      <c r="T37" s="65"/>
    </row>
    <row r="38" spans="2:20" x14ac:dyDescent="0.2">
      <c r="S38" s="19"/>
      <c r="T38" s="65"/>
    </row>
    <row r="39" spans="2:20" x14ac:dyDescent="0.2">
      <c r="S39" s="19"/>
      <c r="T39" s="65"/>
    </row>
    <row r="40" spans="2:20" x14ac:dyDescent="0.2">
      <c r="S40" s="19"/>
      <c r="T40" s="65"/>
    </row>
    <row r="41" spans="2:20" x14ac:dyDescent="0.2">
      <c r="S41" s="19"/>
      <c r="T41" s="65"/>
    </row>
    <row r="42" spans="2:20" ht="16" thickBot="1" x14ac:dyDescent="0.25">
      <c r="S42" s="20"/>
      <c r="T42" s="67"/>
    </row>
    <row r="44" spans="2:20" x14ac:dyDescent="0.2">
      <c r="M44" s="11"/>
      <c r="N44" s="11"/>
      <c r="O44" s="11"/>
      <c r="P44" s="11"/>
      <c r="Q44" s="11"/>
      <c r="R44" s="11"/>
    </row>
    <row r="46" spans="2:20" x14ac:dyDescent="0.2">
      <c r="M46" s="10"/>
      <c r="N46" s="10"/>
      <c r="O46" s="10"/>
      <c r="P46" s="10"/>
      <c r="Q46" s="10"/>
      <c r="R46" s="10"/>
    </row>
    <row r="49" spans="3:19" x14ac:dyDescent="0.2">
      <c r="M49" s="10"/>
      <c r="N49" s="10"/>
      <c r="O49" s="10"/>
      <c r="P49" s="10"/>
      <c r="Q49" s="10"/>
      <c r="R49" s="10"/>
    </row>
    <row r="51" spans="3:19" x14ac:dyDescent="0.2">
      <c r="C51" s="10"/>
    </row>
    <row r="52" spans="3:19" x14ac:dyDescent="0.2">
      <c r="C52" s="10"/>
    </row>
    <row r="59" spans="3:19" x14ac:dyDescent="0.2">
      <c r="N59" s="11"/>
      <c r="O59" s="11"/>
      <c r="P59" s="11"/>
      <c r="Q59" s="11"/>
      <c r="R59" s="11"/>
      <c r="S59" s="11"/>
    </row>
    <row r="61" spans="3:19" x14ac:dyDescent="0.2">
      <c r="N61" s="10"/>
      <c r="O61" s="10"/>
      <c r="P61" s="10"/>
      <c r="Q61" s="10"/>
      <c r="R61" s="10"/>
      <c r="S61" s="10"/>
    </row>
    <row r="64" spans="3:19" x14ac:dyDescent="0.2">
      <c r="N64" s="10"/>
      <c r="O64" s="10"/>
      <c r="P64" s="10"/>
      <c r="Q64" s="10"/>
      <c r="R64" s="10"/>
      <c r="S64" s="10"/>
    </row>
    <row r="67" spans="14:19" x14ac:dyDescent="0.2">
      <c r="N67" s="10"/>
      <c r="O67" s="10"/>
      <c r="P67" s="10"/>
      <c r="Q67" s="10"/>
      <c r="R67" s="10"/>
      <c r="S67" s="10"/>
    </row>
    <row r="70" spans="14:19" x14ac:dyDescent="0.2">
      <c r="N70" s="10"/>
      <c r="O70" s="10"/>
      <c r="P70" s="10"/>
      <c r="Q70" s="10"/>
      <c r="R70" s="10"/>
      <c r="S70" s="10"/>
    </row>
    <row r="73" spans="14:19" x14ac:dyDescent="0.2">
      <c r="N73" s="10"/>
      <c r="O73" s="10"/>
      <c r="P73" s="10"/>
      <c r="Q73" s="10"/>
      <c r="R73" s="10"/>
      <c r="S73" s="10"/>
    </row>
    <row r="74" spans="14:19" x14ac:dyDescent="0.2">
      <c r="O74" s="10"/>
      <c r="P74" s="10"/>
      <c r="Q74" s="10"/>
      <c r="R74" s="10"/>
      <c r="S74" s="10"/>
    </row>
    <row r="77" spans="14:19" x14ac:dyDescent="0.2">
      <c r="O77" s="10"/>
      <c r="P77" s="10"/>
      <c r="Q77" s="10"/>
      <c r="R77" s="10"/>
      <c r="S77" s="10"/>
    </row>
    <row r="80" spans="14:19" x14ac:dyDescent="0.2">
      <c r="O80" s="10"/>
      <c r="P80" s="10"/>
      <c r="Q80" s="10"/>
      <c r="R80" s="10"/>
      <c r="S80" s="10"/>
    </row>
  </sheetData>
  <mergeCells count="1">
    <mergeCell ref="F4:L6"/>
  </mergeCells>
  <conditionalFormatting sqref="B22 B20 B18">
    <cfRule type="containsErrors" dxfId="0" priority="1">
      <formula>ISERROR(B18)</formula>
    </cfRule>
  </conditionalFormatting>
  <pageMargins left="0.75" right="0.75" top="1" bottom="1" header="0.5" footer="0.5"/>
  <pageSetup paperSize="9" orientation="portrait" horizontalDpi="4294967292" verticalDpi="4294967292"/>
  <ignoredErrors>
    <ignoredError sqref="B20 B22" evalError="1"/>
  </ignoredErrors>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DEPART</vt:lpstr>
      <vt:lpstr>Accueil</vt:lpstr>
      <vt:lpstr>Regions</vt:lpstr>
      <vt:lpstr>Villes</vt:lpstr>
      <vt:lpstr>Criteres</vt:lpstr>
      <vt:lpstr>Graphiques</vt:lpstr>
      <vt:lpstr>NonSélectionné</vt:lpstr>
      <vt:lpstr>Photo</vt:lpstr>
      <vt:lpstr>RegionChoisie</vt:lpstr>
      <vt:lpstr>RetourCriteres</vt:lpstr>
      <vt:lpstr>Séléctionné</vt:lpstr>
      <vt:lpstr>test</vt:lpstr>
      <vt:lpstr>test1</vt:lpstr>
      <vt:lpstr>test3</vt:lpstr>
      <vt:lpstr>test4</vt:lpstr>
      <vt:lpstr>VilleChoisie</vt:lpstr>
      <vt:lpstr>VilleChoisieNom</vt:lpstr>
      <vt:lpstr>VilleNS</vt:lpstr>
      <vt:lpstr>VilleS</vt:lpstr>
    </vt:vector>
  </TitlesOfParts>
  <Company>ICN Business School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GUIMARAES Renato</dc:creator>
  <cp:lastModifiedBy>ELKAIM JULIEN</cp:lastModifiedBy>
  <dcterms:created xsi:type="dcterms:W3CDTF">2015-10-29T13:38:56Z</dcterms:created>
  <dcterms:modified xsi:type="dcterms:W3CDTF">2019-10-31T21:47:38Z</dcterms:modified>
</cp:coreProperties>
</file>